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AI_Pentest\"/>
    </mc:Choice>
  </mc:AlternateContent>
  <xr:revisionPtr revIDLastSave="0" documentId="13_ncr:1_{EAA9F878-83BE-44B5-8AB4-5247800B20DE}" xr6:coauthVersionLast="47" xr6:coauthVersionMax="47" xr10:uidLastSave="{00000000-0000-0000-0000-000000000000}"/>
  <bookViews>
    <workbookView xWindow="-108" yWindow="-108" windowWidth="23256" windowHeight="12456" xr2:uid="{00000000-000D-0000-FFFF-FFFF00000000}"/>
  </bookViews>
  <sheets>
    <sheet name="Testing Checklist (Web)" sheetId="1" r:id="rId1"/>
    <sheet name="Testing Checklist (LLM)" sheetId="2" r:id="rId2"/>
    <sheet name="Testing Checklist (Mobile)" sheetId="3" r:id="rId3"/>
  </sheets>
  <definedNames>
    <definedName name="Awareness">#REF!</definedName>
    <definedName name="EaseofExploit">#REF!</definedName>
    <definedName name="EasyofDiscovery">#REF!</definedName>
    <definedName name="FinancialDamage">#REF!</definedName>
    <definedName name="IntrusionDetection">#REF!</definedName>
    <definedName name="LossofAccountability">#REF!</definedName>
    <definedName name="LossofAvailability">#REF!</definedName>
    <definedName name="LossofConfidentiality">#REF!</definedName>
    <definedName name="LossofIntegrity">#REF!</definedName>
    <definedName name="Motive">#REF!</definedName>
    <definedName name="NonCompliance">#REF!</definedName>
    <definedName name="Opportunity">#REF!</definedName>
    <definedName name="PolicyViolation">#REF!</definedName>
    <definedName name="PopulationSize">#REF!</definedName>
    <definedName name="ReputationDamage">#REF!</definedName>
    <definedName name="result">#REF!</definedName>
    <definedName name="SkillRequired">#REF!</definedName>
  </definedNames>
  <calcPr calcId="191029"/>
</workbook>
</file>

<file path=xl/calcChain.xml><?xml version="1.0" encoding="utf-8"?>
<calcChain xmlns="http://schemas.openxmlformats.org/spreadsheetml/2006/main">
  <c r="C11" i="2" l="1"/>
  <c r="C10" i="2"/>
  <c r="C9" i="2"/>
  <c r="C8" i="2"/>
  <c r="C7" i="2"/>
  <c r="C6" i="2"/>
  <c r="C5" i="2"/>
  <c r="C4" i="2"/>
  <c r="C3" i="2"/>
  <c r="C2" i="2"/>
  <c r="C141" i="1"/>
  <c r="C140" i="1"/>
  <c r="C139" i="1"/>
  <c r="C136" i="1"/>
  <c r="C135" i="1"/>
  <c r="C134" i="1"/>
  <c r="C133" i="1"/>
  <c r="C132" i="1"/>
  <c r="C131" i="1"/>
  <c r="C130" i="1"/>
  <c r="C129" i="1"/>
  <c r="C128" i="1"/>
  <c r="C127" i="1"/>
  <c r="C126" i="1"/>
  <c r="C125" i="1"/>
  <c r="C124" i="1"/>
  <c r="C123" i="1"/>
  <c r="C120" i="1"/>
  <c r="C119" i="1"/>
  <c r="C118" i="1"/>
  <c r="C117" i="1"/>
  <c r="C116" i="1"/>
  <c r="C115" i="1"/>
  <c r="C114" i="1"/>
  <c r="C113" i="1"/>
  <c r="C112" i="1"/>
  <c r="C111" i="1"/>
  <c r="C108" i="1"/>
  <c r="C107" i="1"/>
  <c r="C106" i="1"/>
  <c r="C105" i="1"/>
  <c r="C102" i="1"/>
  <c r="C101" i="1"/>
  <c r="C98" i="1"/>
  <c r="C97" i="1"/>
  <c r="C96" i="1"/>
  <c r="C95" i="1"/>
  <c r="C94" i="1"/>
  <c r="C93" i="1"/>
  <c r="C92" i="1"/>
  <c r="C91" i="1"/>
  <c r="C90" i="1"/>
  <c r="C89" i="1"/>
  <c r="C88" i="1"/>
  <c r="C87" i="1"/>
  <c r="C86" i="1"/>
  <c r="C85" i="1"/>
  <c r="C84" i="1"/>
  <c r="C83" i="1"/>
  <c r="C82" i="1"/>
  <c r="C81" i="1"/>
  <c r="C80" i="1"/>
  <c r="C79" i="1"/>
  <c r="C78" i="1"/>
  <c r="C75" i="1"/>
  <c r="C74" i="1"/>
  <c r="C73" i="1"/>
  <c r="C72" i="1"/>
  <c r="C71" i="1"/>
  <c r="C70" i="1"/>
  <c r="C69" i="1"/>
  <c r="C68" i="1"/>
  <c r="C67" i="1"/>
  <c r="C66" i="1"/>
  <c r="C65" i="1"/>
  <c r="C62" i="1"/>
  <c r="C61" i="1"/>
  <c r="C60" i="1"/>
  <c r="C59" i="1"/>
  <c r="C58" i="1"/>
  <c r="C55" i="1"/>
  <c r="C54" i="1"/>
  <c r="C53" i="1"/>
  <c r="C52" i="1"/>
  <c r="C51" i="1"/>
  <c r="C50" i="1"/>
  <c r="C49" i="1"/>
  <c r="C48" i="1"/>
  <c r="C47" i="1"/>
  <c r="C46" i="1"/>
  <c r="C45" i="1"/>
  <c r="C42" i="1"/>
  <c r="C41" i="1"/>
  <c r="C40" i="1"/>
  <c r="C39" i="1"/>
  <c r="C38" i="1"/>
  <c r="C35" i="1"/>
  <c r="C34" i="1"/>
  <c r="C33" i="1"/>
  <c r="C32" i="1"/>
  <c r="C31" i="1"/>
  <c r="C30" i="1"/>
  <c r="C29" i="1"/>
  <c r="C28" i="1"/>
  <c r="C27" i="1"/>
  <c r="C26" i="1"/>
  <c r="C25" i="1"/>
  <c r="C24" i="1"/>
  <c r="C23" i="1"/>
  <c r="C22" i="1"/>
  <c r="C19" i="1"/>
  <c r="C18" i="1"/>
  <c r="C17" i="1"/>
  <c r="C16" i="1"/>
  <c r="C15" i="1"/>
  <c r="C14" i="1"/>
  <c r="C13" i="1"/>
  <c r="C12" i="1"/>
  <c r="C11" i="1"/>
  <c r="C10" i="1"/>
  <c r="J4" i="1"/>
  <c r="I4" i="1"/>
  <c r="H4" i="1"/>
  <c r="G4" i="1"/>
</calcChain>
</file>

<file path=xl/sharedStrings.xml><?xml version="1.0" encoding="utf-8"?>
<sst xmlns="http://schemas.openxmlformats.org/spreadsheetml/2006/main" count="583" uniqueCount="384">
  <si>
    <t>OWASP: Testing Guide Checklist</t>
  </si>
  <si>
    <t>Target</t>
  </si>
  <si>
    <t>https://sandbox.tempris.tech</t>
  </si>
  <si>
    <t>Not Started</t>
  </si>
  <si>
    <t>Pass</t>
  </si>
  <si>
    <t>Issues</t>
  </si>
  <si>
    <t>N/A</t>
  </si>
  <si>
    <t>PIC</t>
  </si>
  <si>
    <t>Reviewer</t>
  </si>
  <si>
    <t>Information Gathering</t>
  </si>
  <si>
    <t>Test Name</t>
  </si>
  <si>
    <t>Objectives</t>
  </si>
  <si>
    <t>Status</t>
  </si>
  <si>
    <t>Checker</t>
  </si>
  <si>
    <t>Screenshot 1</t>
  </si>
  <si>
    <t>Screenshot 2</t>
  </si>
  <si>
    <t>Screenshot 3 (Post Request Raw)</t>
  </si>
  <si>
    <t>Notes</t>
  </si>
  <si>
    <t>WSTG-INFO-01</t>
  </si>
  <si>
    <t>- Identify what sensitive design and configuration information of the application, system, or organization is exposed directly (on the organization's site) or indirectly (via third-party services).</t>
  </si>
  <si>
    <t>Search-engine/OSINT recon out of scope for private sandbox.</t>
  </si>
  <si>
    <t>WSTG-INFO-02</t>
  </si>
  <si>
    <t>- Determine the version and type of a running web server to enable further discovery of any known vulnerabilities.</t>
  </si>
  <si>
    <t>Web server fingerprinted: nginx (Server header).</t>
  </si>
  <si>
    <t>WSTG-INFO-03</t>
  </si>
  <si>
    <t>- Identify hidden or obfuscated paths and functionality through the analysis of metadata files.
- Extract and map other information that could lead to a better understanding of the systems at hand.</t>
  </si>
  <si>
    <t>SPA; no robots.txt/sitemap/security.txt of note.</t>
  </si>
  <si>
    <t>WSTG-INFO-04</t>
  </si>
  <si>
    <t>- Enumerate the applications within the scope that exist on a web server.</t>
  </si>
  <si>
    <t>Single SPA application enumerated on host; API same-origin under /api/.</t>
  </si>
  <si>
    <t>WSTG-INFO-05</t>
  </si>
  <si>
    <t>- Review web page comments, metadata, and redirect bodies to find any information leakage.
- Gather JavaScript files and review the JS code to better understand the application and to find any information leakage.
- Identify if source map files or other frontend debug files exist.</t>
  </si>
  <si>
    <t>JS bundle reviewed: 52 API paths extracted; no secrets/keys leaked in client.</t>
  </si>
  <si>
    <t>WSTG-INFO-06</t>
  </si>
  <si>
    <t>- Identify possible entry and injection points through request and response analysis.</t>
  </si>
  <si>
    <t>Entry points mapped: 52 /api endpoints, request/body shapes documented.</t>
  </si>
  <si>
    <t>WSTG-INFO-07</t>
  </si>
  <si>
    <t>- Map the target application and understand the principal workflows.</t>
  </si>
  <si>
    <t>Execution paths mapped across 10 modules (Synthesis..Audit).</t>
  </si>
  <si>
    <t>WSTG-INFO-08</t>
  </si>
  <si>
    <t>- Fingerprint the components used by the web applications.</t>
  </si>
  <si>
    <t>Framework fingerprint: React/Vite SPA front end, FastAPI/pydantic backend (422 shape).</t>
  </si>
  <si>
    <t>WSTG-INFO-09</t>
  </si>
  <si>
    <t>Duplicate of app fingerprint (template N/A).</t>
  </si>
  <si>
    <t>WSTG-INFO-10</t>
  </si>
  <si>
    <t>- Understand the architecture of the application and the technologies in use.</t>
  </si>
  <si>
    <t>Architecture: SPA + same-origin JSON API behind nginx; stateless JWT auth.</t>
  </si>
  <si>
    <t>Configuration and Deployment Management Testing</t>
  </si>
  <si>
    <t>WSTG-CONF-01</t>
  </si>
  <si>
    <t>- Review the applications' configurations set across the network and validate that they are not vulnerable.
- Validate that used frameworks and systems are secure and not susceptible to known vulnerabilities due to unmaintained software or default settings and credentials.</t>
  </si>
  <si>
    <t>TLS-only, HSTS, standard nginx config; no infra misconfig observed.</t>
  </si>
  <si>
    <t>WSTG-CONF-02</t>
  </si>
  <si>
    <t>- Ensure that default and known files have been removed.
- Validate that no debugging code or extensions are left in the production environments.
- Review the logging mechanisms set in place for the application.</t>
  </si>
  <si>
    <t>No default/known files or exposed platform config found.</t>
  </si>
  <si>
    <t>WSTG-CONF-03</t>
  </si>
  <si>
    <t>- Brute force sensitive file extensions that might contain raw data such as scripts, credentials, etc.
- Validate that no system framework bypasses exist for the rules that have been set</t>
  </si>
  <si>
    <t>File-extension handling enforced by upload allowlist (see BUSL-08).</t>
  </si>
  <si>
    <t>WSTG-CONF-04</t>
  </si>
  <si>
    <t>- Find and analyse unreferenced files that might contain sensitive information.</t>
  </si>
  <si>
    <t>No backup/unreferenced files discovered (not brute-forced exhaustively).</t>
  </si>
  <si>
    <t>WSTG-CONF-05</t>
  </si>
  <si>
    <t>- Identify hidden administrator interfaces and functionality.</t>
  </si>
  <si>
    <t>No hidden admin interface; privilege boundary is role-based (RBAC), server-enforced.</t>
  </si>
  <si>
    <t>WSTG-CONF-06</t>
  </si>
  <si>
    <t>- Enumerate supported HTTP methods.
- Test for access control bypass.
- Test HTTP method overriding techniques.</t>
  </si>
  <si>
    <t>HTTP methods enforced: unsupported methods -&gt; 405; no dangerous verbs enabled.</t>
  </si>
  <si>
    <t>WSTG-CONF-07</t>
  </si>
  <si>
    <t>- Review the HSTS header and its validity.</t>
  </si>
  <si>
    <t>HSTS present: max-age=31536000; includeSubDomains.</t>
  </si>
  <si>
    <t>WSTG-CONF-08</t>
  </si>
  <si>
    <t>No RIA cross-domain policy files (Flash/Silverlight) in use.</t>
  </si>
  <si>
    <t>WSTG-CONF-09</t>
  </si>
  <si>
    <t>- Review and identify any rogue file permissions.</t>
  </si>
  <si>
    <t>File permissions not assessable (no host/filesystem access in scope).</t>
  </si>
  <si>
    <t>WSTG-CONF-10</t>
  </si>
  <si>
    <t>- Enumerate all possible domains (previous and current).
- Identify any forgotten or misconfigured domains.</t>
  </si>
  <si>
    <t>Subdomain takeover not in scope for this engagement.</t>
  </si>
  <si>
    <t>WSTG-CONF-11</t>
  </si>
  <si>
    <t>- Assess that the access control configuration for the storage services is properly in place.</t>
  </si>
  <si>
    <t>No client-exposed cloud storage buckets referenced.</t>
  </si>
  <si>
    <t>WSTG-CONF-12</t>
  </si>
  <si>
    <t>- Review the Content-Security-Policy header or meta element to identify misconfigurations.</t>
  </si>
  <si>
    <t>CSP present but script-src allows 'unsafe-inline' (defense-in-depth weakness). No exploitable HTML sink found.</t>
  </si>
  <si>
    <t>WSTG-CONF-13</t>
  </si>
  <si>
    <t>- Make sure application paths are configured correctly.</t>
  </si>
  <si>
    <t>No path-confusion behaviour observed on the SPA + /api routing.</t>
  </si>
  <si>
    <t>WSTG-CONF-14</t>
  </si>
  <si>
    <t>- Identify improperly configured security headers.
- Assess the impact of misconfigured security headers.
- Validate the correct implementation of required security headers.</t>
  </si>
  <si>
    <t>Other security headers present: X-Frame-Options DENY, nosniff, Referrer-Policy, Permissions-Policy.</t>
  </si>
  <si>
    <t>Identity Management Testing</t>
  </si>
  <si>
    <t>WSTG-IDNT-01</t>
  </si>
  <si>
    <t>- Identify and document roles used by the application.
- Attempt to switch, change, or access another role.
- Review the granularity of the roles and the needs behind the permissions given.</t>
  </si>
  <si>
    <t>5 roles defined and server-enforced: Superadmin/Admin/Analyst/Viewer/Read-only.</t>
  </si>
  <si>
    <t>WSTG-IDNT-02</t>
  </si>
  <si>
    <t>- Verify that the identity requirements for user registration are aligned with business and security requirements.
- Validate the registration process.</t>
  </si>
  <si>
    <t>No self-registration; accounts are provisioned (fixed demo set).</t>
  </si>
  <si>
    <t>WSTG-IDNT-03</t>
  </si>
  <si>
    <t>- Verify which accounts may provision other accounts and of what type.</t>
  </si>
  <si>
    <t>No user-provisioning API exposed in the tested surface.</t>
  </si>
  <si>
    <t>WSTG-IDNT-04</t>
  </si>
  <si>
    <t>- Review processes that pertain to user identification (*e.g.* registration, login, etc.).
- Enumerate users where possible through response analysis.</t>
  </si>
  <si>
    <t>No account-enumeration primitive; login is rate-limited (429).</t>
  </si>
  <si>
    <t>WSTG-IDNT-05</t>
  </si>
  <si>
    <t>- Determine whether a consistent account name structure renders the application vulnerable to account enumeration.
- Determine whether the application's error messages permit account enumeration.</t>
  </si>
  <si>
    <t>Fixed account set; no username-policy surface to test.</t>
  </si>
  <si>
    <t>Authentication Testing</t>
  </si>
  <si>
    <t>WSTG-ATHN-01</t>
  </si>
  <si>
    <t>Credentials transported over TLS only (HTTPS + HSTS).</t>
  </si>
  <si>
    <t>WSTG-ATHN-02</t>
  </si>
  <si>
    <t>- Determine whether the application has any user accounts with default passwords.
- Review whether new user accounts are created with weak or predictable passwords.</t>
  </si>
  <si>
    <t>Default/weak credentials: all 5 demo accounts use password 'demo'.</t>
  </si>
  <si>
    <t>WSTG-ATHN-03</t>
  </si>
  <si>
    <t>- Evaluate the account lockout mechanism's ability to mitigate brute force password guessing.
- Evaluate the unlock mechanism's resistance to unauthorized account unlocking.</t>
  </si>
  <si>
    <t>Brute-force mitigated by global per-IP rate limiting (HTTP 429).</t>
  </si>
  <si>
    <t>WSTG-ATHN-04</t>
  </si>
  <si>
    <t>- Ensure that authentication is applied across all services that require it.</t>
  </si>
  <si>
    <t>Auth enforced on all endpoints: no-auth -&gt; 401; forged JWT -&gt; 401.</t>
  </si>
  <si>
    <t>WSTG-ATHN-05</t>
  </si>
  <si>
    <t>- Validate that the generated session is managed securely and do not put the user's credentials in danger.</t>
  </si>
  <si>
    <t>No 'remember me' persistent credential feature.</t>
  </si>
  <si>
    <t>WSTG-ATHN-06</t>
  </si>
  <si>
    <t>- Review if the application stores sensitive information on the client-side.
- Review if access can occur without authorization.</t>
  </si>
  <si>
    <t>No sensitive form caching surface (SPA, bearer-in-header).</t>
  </si>
  <si>
    <t>WSTG-ATHN-07</t>
  </si>
  <si>
    <t>- Determine the resistance of the application against brute force password guessing using available password dictionaries by evaluating the length, complexity, reuse, and aging requirements of passwords.</t>
  </si>
  <si>
    <t>Auth method strong: HS256 JWT, secret survived full rockyou; sig verified.</t>
  </si>
  <si>
    <t>WSTG-ATHN-08</t>
  </si>
  <si>
    <t>- Determine the complexity and how straight-forward the questions are.
- Assess possible user answers and brute force capabilities.</t>
  </si>
  <si>
    <t>No security-question mechanism.</t>
  </si>
  <si>
    <t>WSTG-ATHN-09</t>
  </si>
  <si>
    <t>- Determine whether the password change and reset functionality allows accounts to be compromised.</t>
  </si>
  <si>
    <t>No password change/reset function present.</t>
  </si>
  <si>
    <t>WSTG-ATHN-10</t>
  </si>
  <si>
    <t>- Identify alternative authentication channels.
- Assess the security measures used and if any bypasses exists on the alternative channels.</t>
  </si>
  <si>
    <t>No alternative authentication channels.</t>
  </si>
  <si>
    <t>WSTG-ATHN-11</t>
  </si>
  <si>
    <t>- Identify the type of MFA used by the application.
- Determine whether the MFA implementation is robust and secure.
- Attempt to bypass the MFA.</t>
  </si>
  <si>
    <t>No MFA implemented; recommend MFA for Admin/Superadmin (advisory).</t>
  </si>
  <si>
    <t>Authorization Testing</t>
  </si>
  <si>
    <t>WSTG-ATHZ-01</t>
  </si>
  <si>
    <t>- Identify injection points that pertain to path traversal.
- Assess bypassing techniques and identify the extent of path traversal.</t>
  </si>
  <si>
    <t>Directory traversal blocked: download traversal -&gt; 404; upload filename sanitized.</t>
  </si>
  <si>
    <t>WSTG-ATHZ-02</t>
  </si>
  <si>
    <t>- Assess if horizontal or vertical access is possible.</t>
  </si>
  <si>
    <t>Authorization schema enforced: Read-only 403 on non-STANDARD; write actions role-gated.</t>
  </si>
  <si>
    <t>WSTG-ATHZ-03</t>
  </si>
  <si>
    <t>- Identify injection points related to privilege manipulation.
- Fuzz or otherwise attempt to bypass security measures.</t>
  </si>
  <si>
    <t>Privilege escalation not possible: JWT role forgery rejected (401).</t>
  </si>
  <si>
    <t>WSTG-ATHZ-04</t>
  </si>
  <si>
    <t>- Identify points where object references may occur.
- Assess the access control measures and if they're vulnerable to IDOR.</t>
  </si>
  <si>
    <t>IDOR: compliance evidence downloadable by any role via sequential id (no object-level authz).</t>
  </si>
  <si>
    <t>WSTG-ATHZ-05</t>
  </si>
  <si>
    <t>- Determine if OAuth2 implementation is vulnerable or using a deprecated or custom implementation.</t>
  </si>
  <si>
    <t>No OAuth2 implementation.</t>
  </si>
  <si>
    <t>Session Management Testing</t>
  </si>
  <si>
    <t>WSTG-SESS-01</t>
  </si>
  <si>
    <t>- Gather session tokens, for the same user and for different users where possible.
- Analyze and ensure that enough randomness exists to stop session forging attacks.
- Modify cookies that are not signed and contain information that can be manipulated.</t>
  </si>
  <si>
    <t>Stateless JWT session schema; new token per login.</t>
  </si>
  <si>
    <t>WSTG-SESS-02</t>
  </si>
  <si>
    <t>- Ensure that the proper security configuration is set for cookies.</t>
  </si>
  <si>
    <t>No session cookies used (token in Authorization header / localStorage).</t>
  </si>
  <si>
    <t>WSTG-SESS-03</t>
  </si>
  <si>
    <t>- Analyze the authentication mechanism and its flow.
- Force cookies and assess the impact.</t>
  </si>
  <si>
    <t>Stateless JWT; no server session to fixate.</t>
  </si>
  <si>
    <t>WSTG-SESS-04</t>
  </si>
  <si>
    <t>- Ensure that proper encryption is implemented.
- Review the caching configuration.
- Assess the channel and methods' security.</t>
  </si>
  <si>
    <t>Token not exposed in URL/query; carried in Authorization header.</t>
  </si>
  <si>
    <t>WSTG-SESS-05</t>
  </si>
  <si>
    <t>- Determine whether it is possible to initiate requests on a user's behalf that are not initiated by the user.</t>
  </si>
  <si>
    <t>CSRF not applicable: bearer-token auth (not cookie), CORS non-reflective.</t>
  </si>
  <si>
    <t>WSTG-SESS-06</t>
  </si>
  <si>
    <t>- Assess the logout UI.
- Analyze the session timeout and if the session is properly killed after logout.</t>
  </si>
  <si>
    <t>Logout is client-side only; stateless token remains valid until exp (no revocation).</t>
  </si>
  <si>
    <t>WSTG-SESS-07</t>
  </si>
  <si>
    <t>- Validate that a hard session timeout exists.</t>
  </si>
  <si>
    <t>Hard session timeout via JWT exp (~1 hour).</t>
  </si>
  <si>
    <t>WSTG-SESS-08</t>
  </si>
  <si>
    <t>- Identify all session variables.
- Break the logical flow of session generation.</t>
  </si>
  <si>
    <t>No multi-step session variables to puzzle.</t>
  </si>
  <si>
    <t>WSTG-SESS-09</t>
  </si>
  <si>
    <t>- Identify vulnerable session cookies.
- Hijack vulnerable cookies and assess the risk level.</t>
  </si>
  <si>
    <t>Hijacking mitigated by TLS + short-lived bearer token; no fixation.</t>
  </si>
  <si>
    <t>WSTG-SESS-10</t>
  </si>
  <si>
    <t>- Determine whether the JWTs expose sensitive information.
- Determine whether the JWTs can be tampered with or modified.</t>
  </si>
  <si>
    <t>JWT reviewed: HS256, strong secret, signature verified, alg:none rejected.</t>
  </si>
  <si>
    <t>WSTG-SESS-11</t>
  </si>
  <si>
    <t>- Evaluate the application's session management by assessing the handling of multiple active sessions for a single user account.</t>
  </si>
  <si>
    <t>Stateless design permits concurrent tokens by design.</t>
  </si>
  <si>
    <t>Input Validation Testing</t>
  </si>
  <si>
    <t>WSTG-INPV-01</t>
  </si>
  <si>
    <t>- Identify variables that are reflected in responses.
- Assess the input they accept and the encoding that gets applied on return (if any).</t>
  </si>
  <si>
    <t>Reflected XSS: no reflective sink; React auto-escapes.</t>
  </si>
  <si>
    <t>WSTG-INPV-02</t>
  </si>
  <si>
    <t>- Identify stored input that is reflected on the client-side.
- Assess the input they accept and the encoding that gets applied on return (if any).</t>
  </si>
  <si>
    <t>Stored XSS: asset name/notes stored raw but rendered escaped (no execution).</t>
  </si>
  <si>
    <t>WSTG-INPV-03</t>
  </si>
  <si>
    <t>HTTP verb tampering (template N/A); methods return 405.</t>
  </si>
  <si>
    <t>WSTG-INPV-04</t>
  </si>
  <si>
    <t>- Identify the backend and the parsing method used.
- Assess injection points and try bypassing input filters using HPP.</t>
  </si>
  <si>
    <t>No parameter-pollution-sensitive parsing observed.</t>
  </si>
  <si>
    <t>WSTG-INPV-05</t>
  </si>
  <si>
    <t>- Identify SQL injection points.
- Assess the severity of the injection and the level of access that can be achieved through it.</t>
  </si>
  <si>
    <t>SQL injection not present: quote/boolean/time-based payloads had no effect.</t>
  </si>
  <si>
    <t>WSTG-INPV-06</t>
  </si>
  <si>
    <t>- Identify LDAP injection points.
- Assess the severity of the injection.</t>
  </si>
  <si>
    <t>No LDAP backend.</t>
  </si>
  <si>
    <t>WSTG-INPV-07</t>
  </si>
  <si>
    <t>- Identify XML injection points.
- Assess the types of exploits that can be attained and their severities.</t>
  </si>
  <si>
    <t>JSON API; no XML parsing surface.</t>
  </si>
  <si>
    <t>WSTG-INPV-08</t>
  </si>
  <si>
    <t>- Identify SSI injection points.
- Assess the severity of the injection.</t>
  </si>
  <si>
    <t>No server-side includes.</t>
  </si>
  <si>
    <t>WSTG-INPV-09</t>
  </si>
  <si>
    <t>- Identify XPATH injection points.</t>
  </si>
  <si>
    <t>No XPath/XML query surface.</t>
  </si>
  <si>
    <t>WSTG-INPV-10</t>
  </si>
  <si>
    <t>- Identify IMAP/SMTP injection points.
- Understand the data flow and deployment structure of the system.
- Assess the injection impacts.</t>
  </si>
  <si>
    <t>No IMAP/SMTP interaction surface.</t>
  </si>
  <si>
    <t>WSTG-INPV-11</t>
  </si>
  <si>
    <t>- Identify injection points where you can inject code into the application.
- Assess the injection severity.</t>
  </si>
  <si>
    <t>Code injection: injected markup in EDIP did not execute or persist.</t>
  </si>
  <si>
    <t>WSTG-INPV-12</t>
  </si>
  <si>
    <t>- Identify and assess the command injection points.</t>
  </si>
  <si>
    <t>Command injection not present: scan targets validated (metachars/internal -&gt; 403).</t>
  </si>
  <si>
    <t>WSTG-INPV-13</t>
  </si>
  <si>
    <t>Buffer overflow not applicable (managed runtime).</t>
  </si>
  <si>
    <t>- Assess whether injecting format string conversion specifiers into user-controlled fields causes undesired behavior from the application.</t>
  </si>
  <si>
    <t>Format-string injection not applicable (managed runtime).</t>
  </si>
  <si>
    <t>WSTG-INPV-14</t>
  </si>
  <si>
    <t>- Identify injections that are stored and require a recall step to the stored injection.
- Understand how a recall step could occur.
- Set listeners or activate the recall step if possible.</t>
  </si>
  <si>
    <t>No incubated/stored-then-triggered vector confirmed.</t>
  </si>
  <si>
    <t>WSTG-INPV-15</t>
  </si>
  <si>
    <t>- Assess if the application is vulnerable to splitting, identifying what possible attacks are achievable.
- Assess if the chain of communication is vulnerable to smuggling, identifying what possible attacks are achievable.</t>
  </si>
  <si>
    <t>No HTTP splitting/smuggling observed behind nginx.</t>
  </si>
  <si>
    <t>WSTG-INPV-16</t>
  </si>
  <si>
    <t>- Monitor all incoming and outgoing HTTP requests to the Web Server to inspect any suspicious requests.
- Monitor HTTP traffic without changes of end user Browser proxy or client-side application.</t>
  </si>
  <si>
    <t>Incoming-request monitoring not applicable.</t>
  </si>
  <si>
    <t>WSTG-INPV-17</t>
  </si>
  <si>
    <t>- Assess if the Host header is being parsed dynamically in the application.
- Bypass security controls that rely on the header.</t>
  </si>
  <si>
    <t>Host header not reflected into app logic (behind nginx vhost).</t>
  </si>
  <si>
    <t>WSTG-INPV-18</t>
  </si>
  <si>
    <t>- Detect template injection vulnerability points.
- Identify the templating engine.
- Build the exploit.</t>
  </si>
  <si>
    <t>SSTI: report narratives are LLM-generated, not template-reflected; no injection.</t>
  </si>
  <si>
    <t>WSTG-INPV-19</t>
  </si>
  <si>
    <t>- Identify SSRF injection points.
- Test if the injection points are exploitable.
- Asses the severity of the vulnerability.</t>
  </si>
  <si>
    <t>SSRF strongly defended: resolve-then-validate blocks internal/metadata + all encodings/DNS bypasses.</t>
  </si>
  <si>
    <t>WSTG-INPV-20</t>
  </si>
  <si>
    <t>- Identify requests that modify objects
- Assess if it is possible to modify fields never intended to be modified from outside</t>
  </si>
  <si>
    <t>Mass assignment blocked: server-managed id/created_at ignored on create.</t>
  </si>
  <si>
    <t>Testing for Error Handling</t>
  </si>
  <si>
    <t>WSTG-ERRH-01</t>
  </si>
  <si>
    <t>- Identify existing error output.
- Analyze the different output returned.</t>
  </si>
  <si>
    <t>Improper error handling: out-of-enum EDIP decision -&gt; unhandled 500 (no corruption).</t>
  </si>
  <si>
    <t>WSTG-ERRH-02</t>
  </si>
  <si>
    <t>No stack traces leaked: 500 returns generic body only.</t>
  </si>
  <si>
    <t>Testing for Weak Cryptography</t>
  </si>
  <si>
    <t>WSTG-CRYP-01</t>
  </si>
  <si>
    <t>- Validate the service configuration.
- Review the digital certificate's cryptographic strength and validity.
- Ensure that the TLS security is not bypassable and is properly implemented across the application.</t>
  </si>
  <si>
    <t>TLS enforced with HSTS (max-age 1y, includeSubDomains).</t>
  </si>
  <si>
    <t>WSTG-CRYP-02</t>
  </si>
  <si>
    <t>- Identify encrypted messages that rely on padding.
- Attempt to break the padding of the encrypted messages and analyze the returned error messages for further analysis.</t>
  </si>
  <si>
    <t>No padding-oracle surface exposed.</t>
  </si>
  <si>
    <t>WSTG-CRYP-03</t>
  </si>
  <si>
    <t>- Identify sensitive information transmitted through the various channels.
- Assess the privacy and security of the channels used.</t>
  </si>
  <si>
    <t>All sensitive data transmitted over HTTPS only.</t>
  </si>
  <si>
    <t>WSTG-CRYP-04</t>
  </si>
  <si>
    <t>- Provide a guideline for the identification weak encryption or hashing uses and implementations.</t>
  </si>
  <si>
    <t>Weak crypto: HS256 secret uncrackable via rockyou (14.3M); no weak keys.</t>
  </si>
  <si>
    <t>Business Logic Testing</t>
  </si>
  <si>
    <t>WSTG-BUSL-01</t>
  </si>
  <si>
    <t>- Identify data injection points.
- Validate that all checks are occurring on the backend and can't be bypassed.
- Attempt to break the format of the expected data and analyze how the application is handling it.</t>
  </si>
  <si>
    <t>Business-logic validation gap: EDIP decision enum not validated server-side (500).</t>
  </si>
  <si>
    <t>WSTG-BUSL-02</t>
  </si>
  <si>
    <t>- Review the project documentation looking for guessable, predictable, or hidden functionality of fields.
- Insert logically valid data in order to bypass normal business logic workflow.</t>
  </si>
  <si>
    <t>Request forgery: audit entries accept client-supplied actor/ip (spoofable attribution).</t>
  </si>
  <si>
    <t>WSTG-BUSL-03</t>
  </si>
  <si>
    <t>- Review the project documentation for components of the system that move, store, or handle data.
- Determine what type of data is logically acceptable by the component and what types the system should guard against.
- Determine who should be allowed to modify or read that data in each component.
- Attempt to insert, update, or delete data values used by each component that should not be allowed per the business logic workflow.</t>
  </si>
  <si>
    <t>Integrity checks: audit hash-chain reports forged records as 'intact' (false assurance).</t>
  </si>
  <si>
    <t>WSTG-BUSL-04</t>
  </si>
  <si>
    <t>- Review the project documentation for system functionality that may be impacted by time.
- Develop and execute misuse cases.</t>
  </si>
  <si>
    <t>No timing-sensitive business process identified.</t>
  </si>
  <si>
    <t>WSTG-BUSL-05</t>
  </si>
  <si>
    <t>- Identify functions that must set limits to the times they can be called.
- Assess if there is a logical limit set on the functions and if it is properly validated.</t>
  </si>
  <si>
    <t>Function-use limits enforced via global rate limiting (429).</t>
  </si>
  <si>
    <t>WSTG-BUSL-06</t>
  </si>
  <si>
    <t>- Review the project documentation for methods to skip or go through steps in the application process in a different order from the intended business logic flow.
- Develop a misuse case and try to circumvent every logic flow identified.</t>
  </si>
  <si>
    <t>Workflow circumvention blocked: STRIKE simulation refused without a signed authorization.</t>
  </si>
  <si>
    <t>WSTG-BUSL-07</t>
  </si>
  <si>
    <t>- Generate notes from all tests conducted against the system.
- Review which tests had a different functionality based on aggressive input.
- Understand the defenses in place and verify if they are enough to protect the system against bypassing techniques.</t>
  </si>
  <si>
    <t>Misuse defenses: RBAC + rate limiting + server-side validation in place.</t>
  </si>
  <si>
    <t>WSTG-BUSL-08</t>
  </si>
  <si>
    <t>- Review the project documentation for file types that are rejected by the system.
- Verify that the unwelcomed file types are rejected and handled safely.
- Verify that file batch uploads are secure and do not allow any bypass against the set security measures.</t>
  </si>
  <si>
    <t>Unexpected file types rejected by extension allowlist.</t>
  </si>
  <si>
    <t>WSTG-BUSL-09</t>
  </si>
  <si>
    <t>- Identify the file upload functionality.
- Review the project documentation to identify what file types are considered acceptable, and what types would be considered dangerous or malicious.
- If documentation is not available then consider what would be appropriate based on the purpose of the application.
- Determine how the uploaded files are processed.
- Obtain or create a set of malicious files for testing.
- Try to upload the malicious files to the application and determine whether it is accepted and processed.</t>
  </si>
  <si>
    <t>Malicious files (SVG/HTML/PHP) rejected; filenames path-sanitized.</t>
  </si>
  <si>
    <t>WSTG-BUSL-10</t>
  </si>
  <si>
    <t>- Determine whether the business logic for the e-commerce functionality is robust.
- Understand how the payment functionality works.
- Determine whether the payment functionality is secure.</t>
  </si>
  <si>
    <t>No payment/e-commerce functionality.</t>
  </si>
  <si>
    <t>Client-side Testing</t>
  </si>
  <si>
    <t>WSTG-CLNT-01</t>
  </si>
  <si>
    <t>- Identify DOM sinks.
- Build payloads that pertain to every sink type.</t>
  </si>
  <si>
    <t>DOM XSS: no exploitable DOM sink; user data rendered via React (escaped).</t>
  </si>
  <si>
    <t>WSTG-CLNT-02</t>
  </si>
  <si>
    <t>- Identify sinks and possible JavaScript injection points.</t>
  </si>
  <si>
    <t>No unsafe client-side JavaScript execution sink found.</t>
  </si>
  <si>
    <t>WSTG-CLNT-03</t>
  </si>
  <si>
    <t>- Identify HTML injection points and assess the severity of the injected content.</t>
  </si>
  <si>
    <t>HTML injection: markup rendered escaped, not as live DOM.</t>
  </si>
  <si>
    <t>WSTG-CLNT-04</t>
  </si>
  <si>
    <t>- Identify injection points that handle URLs or paths.
- Assess the locations that the system could redirect to.</t>
  </si>
  <si>
    <t>No client-side open-redirect parameter observed.</t>
  </si>
  <si>
    <t>WSTG-CLNT-05</t>
  </si>
  <si>
    <t>- Identify CSS injection points.
- Assess the impact of the injection.</t>
  </si>
  <si>
    <t>No CSS-injection surface.</t>
  </si>
  <si>
    <t>WSTG-CLNT-06</t>
  </si>
  <si>
    <t>- Identify sinks with weak input validation.
- Assess the impact of the resource manipulation.</t>
  </si>
  <si>
    <t>No client-side resource-manipulation sink found.</t>
  </si>
  <si>
    <t>WSTG-CLNT-07</t>
  </si>
  <si>
    <t>- Identify endpoints that implement CORS.
- Ensure that the CORS configuration is secure or harmless.</t>
  </si>
  <si>
    <t>CORS correctly configured: attacker origin not reflected.</t>
  </si>
  <si>
    <t>WSTG-CLNT-08</t>
  </si>
  <si>
    <t>- Decompile and analyze the application's code.
- Assess sinks inputs and unsafe method usages.</t>
  </si>
  <si>
    <t>No Flash/cross-site-flashing content.</t>
  </si>
  <si>
    <t>WSTG-CLNT-09</t>
  </si>
  <si>
    <t>- Assess application vulnerability to clickjacking attacks.</t>
  </si>
  <si>
    <t>Clickjacking blocked: X-Frame-Options DENY.</t>
  </si>
  <si>
    <t>WSTG-CLNT-10</t>
  </si>
  <si>
    <t>- Identify the usage of WebSockets.
- Assess its implementation by using the same tests on normal HTTP channels.</t>
  </si>
  <si>
    <t>No WebSockets in use.</t>
  </si>
  <si>
    <t>WSTG-CLNT-11</t>
  </si>
  <si>
    <t>- Assess the security of the message's origin.
- Validate that it's using safe methods and validating its input.</t>
  </si>
  <si>
    <t>No postMessage/web-messaging surface.</t>
  </si>
  <si>
    <t>WSTG-CLNT-12</t>
  </si>
  <si>
    <t>- Determine whether the website is storing sensitive data in client-side storage.
- The code handling of the storage objects should be examined for possibilities of injection attacks, such as utilizing unvalidated input or vulnerable libraries.</t>
  </si>
  <si>
    <t>Browser storage: JWT held in localStorage (JS-accessible; XSS-&gt;token theft, though no XSS found).</t>
  </si>
  <si>
    <t>WSTG-CLNT-13</t>
  </si>
  <si>
    <t>- Locate sensitive data across the system.
- Assess the leakage of sensitive data through various techniques.</t>
  </si>
  <si>
    <t>No cross-site script inclusion (JSONP) surface.</t>
  </si>
  <si>
    <t>WSTG-CLNT-14</t>
  </si>
  <si>
    <t>Reverse tabnabbing not applicable (template N/A).</t>
  </si>
  <si>
    <t>API Testing</t>
  </si>
  <si>
    <t>WSTG-APIT-01</t>
  </si>
  <si>
    <t>- Find all API endpoints supported by the backend server code, documented or undocumented.
- Find all parameters for each endpoint supported by the backend server, documented or undocumented.
- Discover interesting data related to APIs in HTML and JavaScript sent to clients.</t>
  </si>
  <si>
    <t>API reconnaissance: 52 endpoints across 10 modules enumerated from bundle.</t>
  </si>
  <si>
    <t>WSTG-APIT-02</t>
  </si>
  <si>
    <t>- The objective of this test is to identify whether the API enforces proper **object-level authorization** checks, ensuring that users can only access and manipulate objects they are authorized to interact with.</t>
  </si>
  <si>
    <t>API BOLA: evidence object accessible by any authenticated role (see ATHZ-04/F3).</t>
  </si>
  <si>
    <t xml:space="preserve">- The most well-known type of race condition enables you to exceed some kind of limit imposed by the business logic of the application.
For example, consider an online store that lets you enter a promotional code during checkout to get a one-time discount on your order. </t>
  </si>
  <si>
    <t>Race condition: no exploitable state-race identified in scoped flows.</t>
  </si>
  <si>
    <t>LLM01:2025</t>
  </si>
  <si>
    <t>- Identify if user inputs can override original instructions or trigger unexpected or unsafe LLM behavior. Test various prompt injection techniques (direct and indirect).</t>
  </si>
  <si>
    <t>Prompt injection resisted; residual second-order surface via stored asset/finding text (advisory).</t>
  </si>
  <si>
    <t>LLM02:2025</t>
  </si>
  <si>
    <t>- Test if the LLM can be coaxed into revealing sensitive data it shouldn't. Check for mechanisms to prevent the disclosure of confidential information.</t>
  </si>
  <si>
    <t>Sensitive info: refused API keys/secrets/env; only per-account grounded data returned.</t>
  </si>
  <si>
    <t>LLM03:2025</t>
  </si>
  <si>
    <t>- Testing Objectives: Audit dependencies, data sources, and platforms used. Ensure all components are updated and from trusted sources.</t>
  </si>
  <si>
    <t>Supply-chain/dependency audit not possible on deployed model.</t>
  </si>
  <si>
    <t>LLM04:2025</t>
  </si>
  <si>
    <t>- (More difficult to test directly on a deployed model) Understand the training data sources and their validation processes. Look for anomalies or biases in model responses that might indicate data poisoning.</t>
  </si>
  <si>
    <t>Data/model poisoning not testable on deployed instance.</t>
  </si>
  <si>
    <t>LLM05:2025</t>
  </si>
  <si>
    <t>- Verify that LLM output is properly validated and sanitized before integration or display. Test how malicious LLM outputs are handled.</t>
  </si>
  <si>
    <t>Improper output handling: markdown skipHtml, output escaped -&gt; no XSS via assistant.</t>
  </si>
  <si>
    <t>LLM06:2025</t>
  </si>
  <si>
    <t>- Testing Objectives: Review the functions and permissions granted to the LLM. Identify the potential impact if the LLM performs actions beyond expected or safe boundaries.</t>
  </si>
  <si>
    <t>Excessive agency: assistant is advisory/read-only; no state-changing tool actions.</t>
  </si>
  <si>
    <t>LLM07:2025</t>
  </si>
  <si>
    <t>- Verify access controls to the model and API. Test resilience against attempts to extract or copy the model. Ensure API authentication and authorization mechanisms are robust.</t>
  </si>
  <si>
    <t>System-prompt leakage refused ('can't reveal internal configuration').</t>
  </si>
  <si>
    <t>LLM08:2025</t>
  </si>
  <si>
    <t>- Test the security of individual plugins. Check plugin permissions, input/output validation, and how plugins interact with the LLM and external systems.</t>
  </si>
  <si>
    <t>No user-exposed vector/embedding/plugin surface.</t>
  </si>
  <si>
    <t>LLM09:2025</t>
  </si>
  <si>
    <t>- Evaluate the accuracy and reliability of LLM outputs, especially in critical scenarios. Ensure there are mechanisms for users to verify information and warnings about potential inaccuracies.</t>
  </si>
  <si>
    <t>Misinformation/accuracy evaluation out of security scope.</t>
  </si>
  <si>
    <t>LLM10:2025</t>
  </si>
  <si>
    <t>- Test the model's resilience against resource-intensive inputs or inputs designed to cause errors. Identify input limitations and DoS protection mechanisms.</t>
  </si>
  <si>
    <t>Unbounded consumption mitigated by global rate limiting (429).</t>
  </si>
  <si>
    <t>References:</t>
  </si>
  <si>
    <t>https://github.com/OWASP/www-project-top-10-for-large-language-model-applications/wiki/Educational-Resources</t>
  </si>
  <si>
    <t>OWASP: Testing Guide Checklist Mobile (MSTG)</t>
  </si>
  <si>
    <t>Confidentials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</si>
</sst>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4"/>
      <color theme="1"/>
      <name val="Arial"/>
      <family val="2"/>
      <scheme val="minor"/>
    </font>
    <font>
      <sz val="10"/>
      <color theme="1"/>
      <name val="Arial"/>
      <family val="2"/>
      <scheme val="minor"/>
    </font>
    <font>
      <b/>
      <sz val="10"/>
      <color theme="0"/>
      <name val="Arial"/>
      <family val="2"/>
      <scheme val="minor"/>
    </font>
    <font>
      <sz val="10"/>
      <color rgb="FF4D90FF"/>
      <name val="Arial"/>
      <family val="2"/>
      <scheme val="minor"/>
    </font>
    <font>
      <sz val="10"/>
      <color rgb="FF434343"/>
      <name val="Arial"/>
      <family val="2"/>
      <scheme val="minor"/>
    </font>
    <font>
      <i/>
      <sz val="10"/>
      <color rgb="FF434343"/>
      <name val="Arial"/>
      <family val="2"/>
      <scheme val="minor"/>
    </font>
    <font>
      <b/>
      <sz val="10"/>
      <color rgb="FFFFFFFF"/>
      <name val="Arial"/>
      <family val="2"/>
      <scheme val="minor"/>
    </font>
    <font>
      <u/>
      <sz val="10"/>
      <color theme="10"/>
      <name val="Arial"/>
      <family val="2"/>
      <scheme val="minor"/>
    </font>
    <font>
      <sz val="10"/>
      <color rgb="FF000000"/>
      <name val="Arial"/>
      <family val="2"/>
      <scheme val="minor"/>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1"/>
    <xf numFmtId="0" fontId="8" fillId="0" borderId="1"/>
  </cellStyleXfs>
  <cellXfs count="21">
    <xf numFmtId="0" fontId="0" fillId="0" borderId="1" xfId="0"/>
    <xf numFmtId="0" fontId="1" fillId="0" borderId="1" xfId="0" applyFont="1"/>
    <xf numFmtId="0" fontId="2" fillId="0" borderId="1" xfId="0" applyFont="1"/>
    <xf numFmtId="0" fontId="2" fillId="0" borderId="1" xfId="0" applyFont="1" applyAlignment="1">
      <alignment horizontal="left"/>
    </xf>
    <xf numFmtId="0" fontId="3" fillId="0" borderId="1" xfId="0" applyFont="1" applyAlignment="1">
      <alignment vertical="center"/>
    </xf>
    <xf numFmtId="0" fontId="5" fillId="0" borderId="1" xfId="0" applyFont="1" applyAlignment="1">
      <alignment vertical="top" wrapText="1"/>
    </xf>
    <xf numFmtId="0" fontId="5" fillId="0" borderId="1" xfId="0" applyFont="1" applyAlignment="1">
      <alignment horizontal="left" vertical="center" wrapText="1"/>
    </xf>
    <xf numFmtId="0" fontId="6" fillId="0" borderId="1" xfId="0" applyFont="1" applyAlignment="1">
      <alignment vertical="center" wrapText="1"/>
    </xf>
    <xf numFmtId="0" fontId="5" fillId="0" borderId="1" xfId="0" applyFont="1" applyAlignment="1">
      <alignment vertical="center" wrapText="1"/>
    </xf>
    <xf numFmtId="0" fontId="1" fillId="0" borderId="1" xfId="0" applyFont="1" applyAlignment="1">
      <alignment horizontal="left"/>
    </xf>
    <xf numFmtId="0" fontId="7" fillId="0" borderId="1" xfId="0" applyFont="1" applyAlignment="1">
      <alignment horizontal="left" vertical="center" wrapText="1"/>
    </xf>
    <xf numFmtId="0" fontId="4" fillId="0" borderId="1" xfId="0" applyFont="1" applyAlignment="1">
      <alignment vertical="center"/>
    </xf>
    <xf numFmtId="0" fontId="8" fillId="0" borderId="1" xfId="1" applyAlignment="1">
      <alignment vertical="center" wrapText="1"/>
    </xf>
    <xf numFmtId="0" fontId="6" fillId="0" borderId="1" xfId="0" quotePrefix="1" applyFont="1" applyAlignment="1">
      <alignment vertical="center" wrapText="1"/>
    </xf>
    <xf numFmtId="0" fontId="8" fillId="0" borderId="1" xfId="1"/>
    <xf numFmtId="0" fontId="2" fillId="0" borderId="1" xfId="0" applyFont="1" applyAlignment="1">
      <alignment vertical="center" wrapText="1"/>
    </xf>
    <xf numFmtId="0" fontId="1" fillId="0" borderId="1" xfId="0" applyFont="1" applyAlignment="1">
      <alignment horizontal="left" vertical="center"/>
    </xf>
    <xf numFmtId="0" fontId="8" fillId="0" borderId="1" xfId="1" applyAlignment="1">
      <alignment wrapText="1"/>
    </xf>
    <xf numFmtId="0" fontId="1" fillId="0" borderId="1" xfId="0" applyFont="1" applyAlignment="1">
      <alignment horizontal="left"/>
    </xf>
    <xf numFmtId="0" fontId="0" fillId="0" borderId="1" xfId="0"/>
    <xf numFmtId="0" fontId="9" fillId="0" borderId="1" xfId="0" applyFont="1"/>
  </cellXfs>
  <cellStyles count="2">
    <cellStyle name="Hyperlink" xfId="1" builtinId="8"/>
    <cellStyle name="Normal" xfId="0" builtinId="0"/>
  </cellStyles>
  <dxfs count="71">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34A853"/>
      </font>
      <fill>
        <patternFill patternType="solid">
          <fgColor rgb="FFE8FEE7"/>
          <bgColor rgb="FFE8FEE7"/>
        </patternFill>
      </fill>
    </dxf>
    <dxf>
      <font>
        <color rgb="FF999999"/>
      </font>
      <fill>
        <patternFill patternType="solid">
          <fgColor rgb="FFF3F3F3"/>
          <bgColor rgb="FFF3F3F3"/>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44.png"/><Relationship Id="rId1" Type="http://schemas.openxmlformats.org/officeDocument/2006/relationships/image" Target="../media/image43.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6</xdr:col>
      <xdr:colOff>0</xdr:colOff>
      <xdr:row>10</xdr:row>
      <xdr:rowOff>0</xdr:rowOff>
    </xdr:from>
    <xdr:ext cx="6667500" cy="10953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10</xdr:row>
      <xdr:rowOff>0</xdr:rowOff>
    </xdr:from>
    <xdr:ext cx="6667500" cy="218122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12</xdr:row>
      <xdr:rowOff>0</xdr:rowOff>
    </xdr:from>
    <xdr:ext cx="6667500" cy="23622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13</xdr:row>
      <xdr:rowOff>0</xdr:rowOff>
    </xdr:from>
    <xdr:ext cx="6667500" cy="23622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14</xdr:row>
      <xdr:rowOff>0</xdr:rowOff>
    </xdr:from>
    <xdr:ext cx="6667500" cy="23622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15</xdr:row>
      <xdr:rowOff>0</xdr:rowOff>
    </xdr:from>
    <xdr:ext cx="6667500" cy="23622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16</xdr:row>
      <xdr:rowOff>0</xdr:rowOff>
    </xdr:from>
    <xdr:ext cx="6667500" cy="12763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18</xdr:row>
      <xdr:rowOff>0</xdr:rowOff>
    </xdr:from>
    <xdr:ext cx="6667500" cy="12763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21</xdr:row>
      <xdr:rowOff>0</xdr:rowOff>
    </xdr:from>
    <xdr:ext cx="6667500" cy="181927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22</xdr:row>
      <xdr:rowOff>0</xdr:rowOff>
    </xdr:from>
    <xdr:ext cx="6667500" cy="1819275"/>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23</xdr:row>
      <xdr:rowOff>0</xdr:rowOff>
    </xdr:from>
    <xdr:ext cx="6667500" cy="9144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23</xdr:row>
      <xdr:rowOff>0</xdr:rowOff>
    </xdr:from>
    <xdr:ext cx="6667500" cy="1095375"/>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25</xdr:row>
      <xdr:rowOff>0</xdr:rowOff>
    </xdr:from>
    <xdr:ext cx="6667500" cy="145732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25</xdr:row>
      <xdr:rowOff>0</xdr:rowOff>
    </xdr:from>
    <xdr:ext cx="6667500" cy="181927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26</xdr:row>
      <xdr:rowOff>0</xdr:rowOff>
    </xdr:from>
    <xdr:ext cx="6667500" cy="1819275"/>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27</xdr:row>
      <xdr:rowOff>0</xdr:rowOff>
    </xdr:from>
    <xdr:ext cx="6667500" cy="1819275"/>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32</xdr:row>
      <xdr:rowOff>0</xdr:rowOff>
    </xdr:from>
    <xdr:ext cx="6667500" cy="1819275"/>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6</xdr:col>
      <xdr:colOff>0</xdr:colOff>
      <xdr:row>34</xdr:row>
      <xdr:rowOff>0</xdr:rowOff>
    </xdr:from>
    <xdr:ext cx="6667500" cy="1819275"/>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37</xdr:row>
      <xdr:rowOff>0</xdr:rowOff>
    </xdr:from>
    <xdr:ext cx="6667500" cy="20002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6</xdr:col>
      <xdr:colOff>0</xdr:colOff>
      <xdr:row>44</xdr:row>
      <xdr:rowOff>0</xdr:rowOff>
    </xdr:from>
    <xdr:ext cx="6667500" cy="12763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44</xdr:row>
      <xdr:rowOff>0</xdr:rowOff>
    </xdr:from>
    <xdr:ext cx="6667500" cy="16383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6</xdr:col>
      <xdr:colOff>0</xdr:colOff>
      <xdr:row>45</xdr:row>
      <xdr:rowOff>0</xdr:rowOff>
    </xdr:from>
    <xdr:ext cx="6667500" cy="12763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45</xdr:row>
      <xdr:rowOff>0</xdr:rowOff>
    </xdr:from>
    <xdr:ext cx="6667500" cy="16383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6</xdr:col>
      <xdr:colOff>0</xdr:colOff>
      <xdr:row>46</xdr:row>
      <xdr:rowOff>0</xdr:rowOff>
    </xdr:from>
    <xdr:ext cx="6667500" cy="1095375"/>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6</xdr:col>
      <xdr:colOff>0</xdr:colOff>
      <xdr:row>47</xdr:row>
      <xdr:rowOff>0</xdr:rowOff>
    </xdr:from>
    <xdr:ext cx="6667500" cy="10953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7</xdr:col>
      <xdr:colOff>0</xdr:colOff>
      <xdr:row>47</xdr:row>
      <xdr:rowOff>0</xdr:rowOff>
    </xdr:from>
    <xdr:ext cx="6667500" cy="16383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6</xdr:col>
      <xdr:colOff>0</xdr:colOff>
      <xdr:row>50</xdr:row>
      <xdr:rowOff>0</xdr:rowOff>
    </xdr:from>
    <xdr:ext cx="6667500" cy="1457325"/>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6</xdr:col>
      <xdr:colOff>0</xdr:colOff>
      <xdr:row>57</xdr:row>
      <xdr:rowOff>0</xdr:rowOff>
    </xdr:from>
    <xdr:ext cx="6667500" cy="1095375"/>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6</xdr:col>
      <xdr:colOff>0</xdr:colOff>
      <xdr:row>58</xdr:row>
      <xdr:rowOff>0</xdr:rowOff>
    </xdr:from>
    <xdr:ext cx="6667500" cy="1457325"/>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58</xdr:row>
      <xdr:rowOff>0</xdr:rowOff>
    </xdr:from>
    <xdr:ext cx="6667500" cy="1819275"/>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59</xdr:row>
      <xdr:rowOff>0</xdr:rowOff>
    </xdr:from>
    <xdr:ext cx="6667500" cy="1095375"/>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7</xdr:col>
      <xdr:colOff>0</xdr:colOff>
      <xdr:row>59</xdr:row>
      <xdr:rowOff>0</xdr:rowOff>
    </xdr:from>
    <xdr:ext cx="6667500" cy="16383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6</xdr:col>
      <xdr:colOff>0</xdr:colOff>
      <xdr:row>60</xdr:row>
      <xdr:rowOff>0</xdr:rowOff>
    </xdr:from>
    <xdr:ext cx="6667500" cy="1095375"/>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0</xdr:colOff>
      <xdr:row>60</xdr:row>
      <xdr:rowOff>0</xdr:rowOff>
    </xdr:from>
    <xdr:ext cx="6667500" cy="1457325"/>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6</xdr:col>
      <xdr:colOff>0</xdr:colOff>
      <xdr:row>64</xdr:row>
      <xdr:rowOff>0</xdr:rowOff>
    </xdr:from>
    <xdr:ext cx="6667500" cy="12763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6</xdr:col>
      <xdr:colOff>0</xdr:colOff>
      <xdr:row>67</xdr:row>
      <xdr:rowOff>0</xdr:rowOff>
    </xdr:from>
    <xdr:ext cx="6667500" cy="9144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6</xdr:col>
      <xdr:colOff>0</xdr:colOff>
      <xdr:row>68</xdr:row>
      <xdr:rowOff>0</xdr:rowOff>
    </xdr:from>
    <xdr:ext cx="6667500" cy="9144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6</xdr:col>
      <xdr:colOff>0</xdr:colOff>
      <xdr:row>69</xdr:row>
      <xdr:rowOff>0</xdr:rowOff>
    </xdr:from>
    <xdr:ext cx="6667500" cy="9144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6</xdr:col>
      <xdr:colOff>0</xdr:colOff>
      <xdr:row>70</xdr:row>
      <xdr:rowOff>0</xdr:rowOff>
    </xdr:from>
    <xdr:ext cx="6667500" cy="9144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6</xdr:col>
      <xdr:colOff>0</xdr:colOff>
      <xdr:row>72</xdr:row>
      <xdr:rowOff>0</xdr:rowOff>
    </xdr:from>
    <xdr:ext cx="6667500" cy="9144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6</xdr:col>
      <xdr:colOff>0</xdr:colOff>
      <xdr:row>73</xdr:row>
      <xdr:rowOff>0</xdr:rowOff>
    </xdr:from>
    <xdr:ext cx="6667500" cy="12763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7</xdr:col>
      <xdr:colOff>0</xdr:colOff>
      <xdr:row>73</xdr:row>
      <xdr:rowOff>0</xdr:rowOff>
    </xdr:from>
    <xdr:ext cx="6667500" cy="16383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6</xdr:col>
      <xdr:colOff>0</xdr:colOff>
      <xdr:row>77</xdr:row>
      <xdr:rowOff>0</xdr:rowOff>
    </xdr:from>
    <xdr:ext cx="6667500" cy="1095375"/>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78</xdr:row>
      <xdr:rowOff>0</xdr:rowOff>
    </xdr:from>
    <xdr:ext cx="6667500" cy="1095375"/>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7</xdr:col>
      <xdr:colOff>0</xdr:colOff>
      <xdr:row>78</xdr:row>
      <xdr:rowOff>0</xdr:rowOff>
    </xdr:from>
    <xdr:ext cx="6667500" cy="1095375"/>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81</xdr:row>
      <xdr:rowOff>0</xdr:rowOff>
    </xdr:from>
    <xdr:ext cx="6667500" cy="12763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6</xdr:col>
      <xdr:colOff>0</xdr:colOff>
      <xdr:row>87</xdr:row>
      <xdr:rowOff>0</xdr:rowOff>
    </xdr:from>
    <xdr:ext cx="6667500" cy="9144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87</xdr:row>
      <xdr:rowOff>0</xdr:rowOff>
    </xdr:from>
    <xdr:ext cx="6667500" cy="12763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88</xdr:row>
      <xdr:rowOff>0</xdr:rowOff>
    </xdr:from>
    <xdr:ext cx="6667500" cy="9144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6</xdr:col>
      <xdr:colOff>0</xdr:colOff>
      <xdr:row>95</xdr:row>
      <xdr:rowOff>0</xdr:rowOff>
    </xdr:from>
    <xdr:ext cx="6667500" cy="9144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6</xdr:col>
      <xdr:colOff>0</xdr:colOff>
      <xdr:row>96</xdr:row>
      <xdr:rowOff>0</xdr:rowOff>
    </xdr:from>
    <xdr:ext cx="6667500" cy="9144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7</xdr:col>
      <xdr:colOff>0</xdr:colOff>
      <xdr:row>96</xdr:row>
      <xdr:rowOff>0</xdr:rowOff>
    </xdr:from>
    <xdr:ext cx="6667500" cy="12763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6</xdr:col>
      <xdr:colOff>0</xdr:colOff>
      <xdr:row>97</xdr:row>
      <xdr:rowOff>0</xdr:rowOff>
    </xdr:from>
    <xdr:ext cx="6667500" cy="1095375"/>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6</xdr:col>
      <xdr:colOff>0</xdr:colOff>
      <xdr:row>100</xdr:row>
      <xdr:rowOff>0</xdr:rowOff>
    </xdr:from>
    <xdr:ext cx="6667500" cy="9144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100</xdr:row>
      <xdr:rowOff>0</xdr:rowOff>
    </xdr:from>
    <xdr:ext cx="6667500" cy="127635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101</xdr:row>
      <xdr:rowOff>0</xdr:rowOff>
    </xdr:from>
    <xdr:ext cx="6667500" cy="1095375"/>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6</xdr:col>
      <xdr:colOff>0</xdr:colOff>
      <xdr:row>104</xdr:row>
      <xdr:rowOff>0</xdr:rowOff>
    </xdr:from>
    <xdr:ext cx="6667500" cy="1819275"/>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106</xdr:row>
      <xdr:rowOff>0</xdr:rowOff>
    </xdr:from>
    <xdr:ext cx="6667500" cy="1819275"/>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107</xdr:row>
      <xdr:rowOff>0</xdr:rowOff>
    </xdr:from>
    <xdr:ext cx="6667500" cy="1457325"/>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6</xdr:col>
      <xdr:colOff>0</xdr:colOff>
      <xdr:row>110</xdr:row>
      <xdr:rowOff>0</xdr:rowOff>
    </xdr:from>
    <xdr:ext cx="6667500" cy="9144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110</xdr:row>
      <xdr:rowOff>0</xdr:rowOff>
    </xdr:from>
    <xdr:ext cx="6667500" cy="12763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111</xdr:row>
      <xdr:rowOff>0</xdr:rowOff>
    </xdr:from>
    <xdr:ext cx="6667500" cy="109537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7</xdr:col>
      <xdr:colOff>0</xdr:colOff>
      <xdr:row>111</xdr:row>
      <xdr:rowOff>0</xdr:rowOff>
    </xdr:from>
    <xdr:ext cx="6667500" cy="12763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6</xdr:col>
      <xdr:colOff>0</xdr:colOff>
      <xdr:row>112</xdr:row>
      <xdr:rowOff>0</xdr:rowOff>
    </xdr:from>
    <xdr:ext cx="6667500" cy="1095375"/>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7</xdr:col>
      <xdr:colOff>0</xdr:colOff>
      <xdr:row>112</xdr:row>
      <xdr:rowOff>0</xdr:rowOff>
    </xdr:from>
    <xdr:ext cx="6667500" cy="127635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6</xdr:col>
      <xdr:colOff>0</xdr:colOff>
      <xdr:row>114</xdr:row>
      <xdr:rowOff>0</xdr:rowOff>
    </xdr:from>
    <xdr:ext cx="6667500" cy="1095375"/>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6</xdr:col>
      <xdr:colOff>0</xdr:colOff>
      <xdr:row>115</xdr:row>
      <xdr:rowOff>0</xdr:rowOff>
    </xdr:from>
    <xdr:ext cx="6667500" cy="91440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7</xdr:col>
      <xdr:colOff>0</xdr:colOff>
      <xdr:row>115</xdr:row>
      <xdr:rowOff>0</xdr:rowOff>
    </xdr:from>
    <xdr:ext cx="6667500" cy="1095375"/>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6</xdr:col>
      <xdr:colOff>0</xdr:colOff>
      <xdr:row>116</xdr:row>
      <xdr:rowOff>0</xdr:rowOff>
    </xdr:from>
    <xdr:ext cx="6667500" cy="1819275"/>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117</xdr:row>
      <xdr:rowOff>0</xdr:rowOff>
    </xdr:from>
    <xdr:ext cx="6667500" cy="91440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117</xdr:row>
      <xdr:rowOff>0</xdr:rowOff>
    </xdr:from>
    <xdr:ext cx="6667500" cy="1095375"/>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118</xdr:row>
      <xdr:rowOff>0</xdr:rowOff>
    </xdr:from>
    <xdr:ext cx="6667500" cy="91440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118</xdr:row>
      <xdr:rowOff>0</xdr:rowOff>
    </xdr:from>
    <xdr:ext cx="6667500" cy="1095375"/>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122</xdr:row>
      <xdr:rowOff>0</xdr:rowOff>
    </xdr:from>
    <xdr:ext cx="6667500" cy="1095375"/>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123</xdr:row>
      <xdr:rowOff>0</xdr:rowOff>
    </xdr:from>
    <xdr:ext cx="6667500" cy="1095375"/>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124</xdr:row>
      <xdr:rowOff>0</xdr:rowOff>
    </xdr:from>
    <xdr:ext cx="6667500" cy="1095375"/>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7</xdr:col>
      <xdr:colOff>0</xdr:colOff>
      <xdr:row>124</xdr:row>
      <xdr:rowOff>0</xdr:rowOff>
    </xdr:from>
    <xdr:ext cx="6667500" cy="1095375"/>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128</xdr:row>
      <xdr:rowOff>0</xdr:rowOff>
    </xdr:from>
    <xdr:ext cx="6667500" cy="1095375"/>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7</xdr:col>
      <xdr:colOff>0</xdr:colOff>
      <xdr:row>128</xdr:row>
      <xdr:rowOff>0</xdr:rowOff>
    </xdr:from>
    <xdr:ext cx="6667500" cy="1095375"/>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6</xdr:col>
      <xdr:colOff>0</xdr:colOff>
      <xdr:row>130</xdr:row>
      <xdr:rowOff>0</xdr:rowOff>
    </xdr:from>
    <xdr:ext cx="6667500" cy="1095375"/>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6</xdr:col>
      <xdr:colOff>0</xdr:colOff>
      <xdr:row>133</xdr:row>
      <xdr:rowOff>0</xdr:rowOff>
    </xdr:from>
    <xdr:ext cx="6667500" cy="914400"/>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6</xdr:col>
      <xdr:colOff>0</xdr:colOff>
      <xdr:row>138</xdr:row>
      <xdr:rowOff>0</xdr:rowOff>
    </xdr:from>
    <xdr:ext cx="6667500" cy="236220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139</xdr:row>
      <xdr:rowOff>0</xdr:rowOff>
    </xdr:from>
    <xdr:ext cx="6667500" cy="1095375"/>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0</xdr:colOff>
      <xdr:row>139</xdr:row>
      <xdr:rowOff>0</xdr:rowOff>
    </xdr:from>
    <xdr:ext cx="6667500" cy="1457325"/>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1</xdr:row>
      <xdr:rowOff>0</xdr:rowOff>
    </xdr:from>
    <xdr:ext cx="6667500" cy="10953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1</xdr:row>
      <xdr:rowOff>0</xdr:rowOff>
    </xdr:from>
    <xdr:ext cx="6667500" cy="1095375"/>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2</xdr:row>
      <xdr:rowOff>0</xdr:rowOff>
    </xdr:from>
    <xdr:ext cx="6667500" cy="1095375"/>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2</xdr:row>
      <xdr:rowOff>0</xdr:rowOff>
    </xdr:from>
    <xdr:ext cx="6667500" cy="1095375"/>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5</xdr:row>
      <xdr:rowOff>0</xdr:rowOff>
    </xdr:from>
    <xdr:ext cx="6667500" cy="91440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6</xdr:row>
      <xdr:rowOff>0</xdr:rowOff>
    </xdr:from>
    <xdr:ext cx="6667500" cy="1095375"/>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7</xdr:row>
      <xdr:rowOff>0</xdr:rowOff>
    </xdr:from>
    <xdr:ext cx="6667500" cy="1095375"/>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7</xdr:row>
      <xdr:rowOff>0</xdr:rowOff>
    </xdr:from>
    <xdr:ext cx="6667500" cy="1095375"/>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10</xdr:row>
      <xdr:rowOff>0</xdr:rowOff>
    </xdr:from>
    <xdr:ext cx="6667500" cy="1095375"/>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42"/>
  <sheetViews>
    <sheetView showGridLines="0" tabSelected="1" zoomScaleNormal="100" workbookViewId="0">
      <selection activeCell="C6" sqref="C6"/>
    </sheetView>
  </sheetViews>
  <sheetFormatPr defaultColWidth="12.6640625" defaultRowHeight="15.75" customHeight="1" x14ac:dyDescent="0.25"/>
  <cols>
    <col min="1" max="1" width="3.6640625" customWidth="1"/>
    <col min="2" max="2" width="26.44140625" customWidth="1"/>
    <col min="3" max="3" width="52.33203125" customWidth="1"/>
    <col min="4" max="4" width="54.44140625" customWidth="1"/>
    <col min="6" max="6" width="12.6640625" customWidth="1"/>
    <col min="7" max="8" width="82" customWidth="1"/>
    <col min="9" max="9" width="29.88671875" bestFit="1" customWidth="1"/>
    <col min="10" max="10" width="52" customWidth="1"/>
    <col min="11" max="11" width="3.88671875" customWidth="1"/>
  </cols>
  <sheetData>
    <row r="1" spans="1:11" ht="37.5" customHeight="1" x14ac:dyDescent="0.3">
      <c r="A1" s="1"/>
      <c r="B1" s="18" t="s">
        <v>0</v>
      </c>
      <c r="C1" s="19"/>
      <c r="D1" s="1"/>
      <c r="E1" s="1"/>
      <c r="F1" s="1"/>
      <c r="G1" s="1"/>
      <c r="H1" s="1"/>
      <c r="I1" s="1"/>
      <c r="J1" s="1"/>
      <c r="K1" s="1"/>
    </row>
    <row r="2" spans="1:11" ht="18.600000000000001" customHeight="1" x14ac:dyDescent="0.3">
      <c r="A2" s="1"/>
      <c r="B2" s="9"/>
      <c r="D2" s="1"/>
      <c r="E2" s="1"/>
      <c r="F2" s="1"/>
      <c r="G2" s="1"/>
      <c r="H2" s="1"/>
      <c r="I2" s="1"/>
      <c r="J2" s="1"/>
      <c r="K2" s="1"/>
    </row>
    <row r="3" spans="1:11" ht="89.4" customHeight="1" x14ac:dyDescent="0.3">
      <c r="A3" s="1"/>
      <c r="B3" s="9" t="s">
        <v>1</v>
      </c>
      <c r="C3" s="17" t="s">
        <v>2</v>
      </c>
      <c r="D3" s="1"/>
      <c r="E3" s="1"/>
      <c r="F3" s="1"/>
      <c r="G3" s="1" t="s">
        <v>3</v>
      </c>
      <c r="H3" s="1" t="s">
        <v>4</v>
      </c>
      <c r="I3" s="1" t="s">
        <v>5</v>
      </c>
      <c r="J3" s="1" t="s">
        <v>6</v>
      </c>
      <c r="K3" s="1"/>
    </row>
    <row r="4" spans="1:11" ht="37.5" customHeight="1" x14ac:dyDescent="0.3">
      <c r="A4" s="1"/>
      <c r="B4" s="9" t="s">
        <v>7</v>
      </c>
      <c r="D4" s="1"/>
      <c r="E4" s="1"/>
      <c r="F4" s="1"/>
      <c r="G4" s="16">
        <f>SUMPRODUCT(--(E10:E141="Not Started"))</f>
        <v>0</v>
      </c>
      <c r="H4" s="16">
        <f>SUMPRODUCT(--(E10:E141="Pass"))</f>
        <v>51</v>
      </c>
      <c r="I4" s="16">
        <f>SUMPRODUCT(--(E10:E141="Issues"))</f>
        <v>10</v>
      </c>
      <c r="J4" s="16">
        <f>SUMPRODUCT(--(E10:E141="N/A"))</f>
        <v>49</v>
      </c>
      <c r="K4" s="1"/>
    </row>
    <row r="5" spans="1:11" ht="37.5" customHeight="1" x14ac:dyDescent="0.3">
      <c r="A5" s="1"/>
      <c r="B5" s="9" t="s">
        <v>8</v>
      </c>
      <c r="C5" s="20" t="s">
        <v>383</v>
      </c>
      <c r="F5" s="1"/>
      <c r="G5" s="1"/>
      <c r="H5" s="1"/>
      <c r="I5" s="1"/>
      <c r="J5" s="1"/>
      <c r="K5" s="1"/>
    </row>
    <row r="6" spans="1:11" ht="15" customHeight="1" x14ac:dyDescent="0.25">
      <c r="A6" s="2"/>
      <c r="B6" s="3"/>
      <c r="C6" s="2"/>
      <c r="D6" s="2"/>
      <c r="E6" s="2"/>
      <c r="F6" s="2"/>
      <c r="G6" s="2"/>
      <c r="H6" s="2"/>
      <c r="I6" s="2"/>
      <c r="J6" s="2"/>
      <c r="K6" s="2"/>
    </row>
    <row r="7" spans="1:11" ht="5.0999999999999996" customHeight="1" x14ac:dyDescent="0.25">
      <c r="A7" s="2"/>
      <c r="B7" s="3"/>
      <c r="C7" s="2"/>
      <c r="D7" s="2"/>
      <c r="E7" s="2"/>
      <c r="F7" s="2"/>
      <c r="G7" s="2"/>
      <c r="H7" s="2"/>
      <c r="I7" s="2"/>
      <c r="J7" s="2"/>
      <c r="K7" s="11"/>
    </row>
    <row r="8" spans="1:11" ht="5.0999999999999996" customHeight="1" x14ac:dyDescent="0.25">
      <c r="A8" s="2"/>
      <c r="B8" s="3"/>
      <c r="C8" s="2"/>
      <c r="D8" s="2"/>
      <c r="E8" s="2"/>
      <c r="F8" s="2"/>
      <c r="G8" s="2"/>
      <c r="H8" s="2"/>
      <c r="I8" s="2"/>
      <c r="J8" s="2"/>
      <c r="K8" s="5"/>
    </row>
    <row r="9" spans="1:11" ht="47.25" customHeight="1" x14ac:dyDescent="0.25">
      <c r="A9" s="4"/>
      <c r="B9" s="10" t="s">
        <v>9</v>
      </c>
      <c r="C9" s="11" t="s">
        <v>10</v>
      </c>
      <c r="D9" s="11" t="s">
        <v>11</v>
      </c>
      <c r="E9" s="11" t="s">
        <v>12</v>
      </c>
      <c r="F9" s="11" t="s">
        <v>13</v>
      </c>
      <c r="G9" s="11" t="s">
        <v>14</v>
      </c>
      <c r="H9" s="11" t="s">
        <v>15</v>
      </c>
      <c r="I9" s="11" t="s">
        <v>16</v>
      </c>
      <c r="J9" s="11" t="s">
        <v>17</v>
      </c>
    </row>
    <row r="10" spans="1:11" ht="66" customHeight="1" x14ac:dyDescent="0.25">
      <c r="A10" s="5"/>
      <c r="B10" s="6" t="s">
        <v>18</v>
      </c>
      <c r="C10" s="15" t="str">
        <f>HYPERLINK("https://owasp.org/www-project-web-security-testing-guide/latest/4-Web_Application_Security_Testing/01-Information_Gathering/01-Conduct_Search_Engine_Discovery_Reconnaissance_for_Information_Leakage", "Conduct Search Engine Discovery Reconnaissance for Information Leakage")</f>
        <v>Conduct Search Engine Discovery Reconnaissance for Information Leakage</v>
      </c>
      <c r="D10" s="7" t="s">
        <v>19</v>
      </c>
      <c r="E10" s="8" t="s">
        <v>6</v>
      </c>
      <c r="F10" s="8"/>
      <c r="G10" s="8"/>
      <c r="H10" s="8"/>
      <c r="I10" s="8"/>
      <c r="J10" s="8" t="s">
        <v>20</v>
      </c>
    </row>
    <row r="11" spans="1:11" ht="175.8" customHeight="1" x14ac:dyDescent="0.25">
      <c r="A11" s="5"/>
      <c r="B11" s="6" t="s">
        <v>21</v>
      </c>
      <c r="C11" s="15" t="str">
        <f>HYPERLINK("https://owasp.org/www-project-web-security-testing-guide/latest/4-Web_Application_Security_Testing/01-Information_Gathering/02-Fingerprint_Web_Server", "Fingerprint Web Server")</f>
        <v>Fingerprint Web Server</v>
      </c>
      <c r="D11" s="7" t="s">
        <v>22</v>
      </c>
      <c r="E11" s="8" t="s">
        <v>4</v>
      </c>
      <c r="F11" s="8"/>
      <c r="G11" s="8"/>
      <c r="H11" s="8"/>
      <c r="I11" s="8"/>
      <c r="J11" s="8" t="s">
        <v>23</v>
      </c>
    </row>
    <row r="12" spans="1:11" ht="66" customHeight="1" x14ac:dyDescent="0.25">
      <c r="A12" s="5"/>
      <c r="B12" s="6" t="s">
        <v>24</v>
      </c>
      <c r="C12" s="15" t="str">
        <f>HYPERLINK("https://owasp.org/www-project-web-security-testing-guide/latest/4-Web_Application_Security_Testing/01-Information_Gathering/03-Review_Webserver_Metafiles_for_Information_Leakage", "Review Webserver Metafiles for Information Leakage")</f>
        <v>Review Webserver Metafiles for Information Leakage</v>
      </c>
      <c r="D12" s="7" t="s">
        <v>25</v>
      </c>
      <c r="E12" s="8" t="s">
        <v>6</v>
      </c>
      <c r="F12" s="8"/>
      <c r="G12" s="8"/>
      <c r="H12" s="8"/>
      <c r="I12" s="8"/>
      <c r="J12" s="8" t="s">
        <v>26</v>
      </c>
    </row>
    <row r="13" spans="1:11" ht="190.05" customHeight="1" x14ac:dyDescent="0.25">
      <c r="A13" s="5"/>
      <c r="B13" s="6" t="s">
        <v>27</v>
      </c>
      <c r="C13" s="15" t="str">
        <f>HYPERLINK("https://owasp.org/www-project-web-security-testing-guide/latest/4-Web_Application_Security_Testing/01-Information_Gathering/04-Enumerate_Applications_on_Webserver", "Enumerate Applications on Webserver")</f>
        <v>Enumerate Applications on Webserver</v>
      </c>
      <c r="D13" s="7" t="s">
        <v>28</v>
      </c>
      <c r="E13" s="8" t="s">
        <v>4</v>
      </c>
      <c r="F13" s="8"/>
      <c r="G13" s="8"/>
      <c r="H13" s="8"/>
      <c r="I13" s="8"/>
      <c r="J13" s="8" t="s">
        <v>29</v>
      </c>
    </row>
    <row r="14" spans="1:11" ht="190.05" customHeight="1" x14ac:dyDescent="0.25">
      <c r="A14" s="5"/>
      <c r="B14" s="6" t="s">
        <v>30</v>
      </c>
      <c r="C14" s="15" t="str">
        <f>HYPERLINK("https://owasp.org/www-project-web-security-testing-guide/latest/4-Web_Application_Security_Testing/01-Information_Gathering/05-Review_Web_Page_Content_for_Information_Leakage", "Review Web Page Content for Information Leakage")</f>
        <v>Review Web Page Content for Information Leakage</v>
      </c>
      <c r="D14" s="7" t="s">
        <v>31</v>
      </c>
      <c r="E14" s="8" t="s">
        <v>4</v>
      </c>
      <c r="F14" s="8"/>
      <c r="G14" s="8"/>
      <c r="H14" s="8"/>
      <c r="I14" s="8"/>
      <c r="J14" s="8" t="s">
        <v>32</v>
      </c>
    </row>
    <row r="15" spans="1:11" ht="190.05" customHeight="1" x14ac:dyDescent="0.25">
      <c r="A15" s="5"/>
      <c r="B15" s="6" t="s">
        <v>33</v>
      </c>
      <c r="C15" s="15" t="str">
        <f>HYPERLINK("https://owasp.org/www-project-web-security-testing-guide/latest/4-Web_Application_Security_Testing/01-Information_Gathering/06-Identify_Application_Entry_Points", "Identify Application Entry Points")</f>
        <v>Identify Application Entry Points</v>
      </c>
      <c r="D15" s="7" t="s">
        <v>34</v>
      </c>
      <c r="E15" s="8" t="s">
        <v>4</v>
      </c>
      <c r="F15" s="8"/>
      <c r="G15" s="8"/>
      <c r="H15" s="8"/>
      <c r="I15" s="8"/>
      <c r="J15" s="8" t="s">
        <v>35</v>
      </c>
    </row>
    <row r="16" spans="1:11" ht="190.05" customHeight="1" x14ac:dyDescent="0.25">
      <c r="A16" s="5"/>
      <c r="B16" s="6" t="s">
        <v>36</v>
      </c>
      <c r="C16" s="15" t="str">
        <f>HYPERLINK("https://owasp.org/www-project-web-security-testing-guide/latest/4-Web_Application_Security_Testing/01-Information_Gathering/07-Map_Execution_Paths_Through_Application", "Map Execution Paths Through Application")</f>
        <v>Map Execution Paths Through Application</v>
      </c>
      <c r="D16" s="7" t="s">
        <v>37</v>
      </c>
      <c r="E16" s="8" t="s">
        <v>4</v>
      </c>
      <c r="F16" s="8"/>
      <c r="G16" s="8"/>
      <c r="H16" s="8"/>
      <c r="I16" s="8"/>
      <c r="J16" s="12" t="s">
        <v>38</v>
      </c>
    </row>
    <row r="17" spans="1:10" ht="104.55" customHeight="1" x14ac:dyDescent="0.25">
      <c r="A17" s="5"/>
      <c r="B17" s="6" t="s">
        <v>39</v>
      </c>
      <c r="C17" s="15" t="str">
        <f>HYPERLINK("https://owasp.org/www-project-web-security-testing-guide/latest/4-Web_Application_Security_Testing/01-Information_Gathering/08-Fingerprint_Web_Application_Framework", "Fingerprint Web Application Framework")</f>
        <v>Fingerprint Web Application Framework</v>
      </c>
      <c r="D17" s="7" t="s">
        <v>40</v>
      </c>
      <c r="E17" s="8" t="s">
        <v>4</v>
      </c>
      <c r="F17" s="8"/>
      <c r="G17" s="8"/>
      <c r="H17" s="8"/>
      <c r="I17" s="8"/>
      <c r="J17" s="8" t="s">
        <v>41</v>
      </c>
    </row>
    <row r="18" spans="1:10" ht="16.5" customHeight="1" x14ac:dyDescent="0.25">
      <c r="A18" s="5"/>
      <c r="B18" s="6" t="s">
        <v>42</v>
      </c>
      <c r="C18" s="15" t="str">
        <f>HYPERLINK("https://owasp.org/www-project-web-security-testing-guide/latest/4-Web_Application_Security_Testing/01-Information_Gathering/09-Fingerprint_Web_Application", "Fingerprint Web Application")</f>
        <v>Fingerprint Web Application</v>
      </c>
      <c r="D18" s="7" t="s">
        <v>6</v>
      </c>
      <c r="E18" s="8" t="s">
        <v>6</v>
      </c>
      <c r="F18" s="8"/>
      <c r="G18" s="8"/>
      <c r="H18" s="8"/>
      <c r="I18" s="8"/>
      <c r="J18" s="8" t="s">
        <v>43</v>
      </c>
    </row>
    <row r="19" spans="1:10" ht="104.55" customHeight="1" x14ac:dyDescent="0.25">
      <c r="A19" s="5"/>
      <c r="B19" s="6" t="s">
        <v>44</v>
      </c>
      <c r="C19" s="15" t="str">
        <f>HYPERLINK("https://owasp.org/www-project-web-security-testing-guide/latest/4-Web_Application_Security_Testing/01-Information_Gathering/10-Map_Application_Architecture", "Map Application Architecture")</f>
        <v>Map Application Architecture</v>
      </c>
      <c r="D19" s="7" t="s">
        <v>45</v>
      </c>
      <c r="E19" s="8" t="s">
        <v>4</v>
      </c>
      <c r="F19" s="8"/>
      <c r="G19" s="8"/>
      <c r="H19" s="8"/>
      <c r="I19" s="8"/>
      <c r="J19" s="12" t="s">
        <v>46</v>
      </c>
    </row>
    <row r="20" spans="1:10" ht="15" customHeight="1" x14ac:dyDescent="0.25">
      <c r="A20" s="2"/>
      <c r="B20" s="3"/>
      <c r="C20" s="2"/>
      <c r="D20" s="2"/>
      <c r="E20" s="2"/>
      <c r="F20" s="2"/>
      <c r="G20" s="2"/>
      <c r="H20" s="2"/>
      <c r="I20" s="2"/>
      <c r="J20" s="2"/>
    </row>
    <row r="21" spans="1:10" ht="47.25" customHeight="1" x14ac:dyDescent="0.25">
      <c r="A21" s="4"/>
      <c r="B21" s="10" t="s">
        <v>47</v>
      </c>
      <c r="C21" s="11" t="s">
        <v>10</v>
      </c>
      <c r="D21" s="11" t="s">
        <v>11</v>
      </c>
      <c r="E21" s="11" t="s">
        <v>12</v>
      </c>
      <c r="F21" s="11"/>
      <c r="G21" s="11"/>
      <c r="H21" s="11"/>
      <c r="I21" s="11"/>
      <c r="J21" s="11" t="s">
        <v>17</v>
      </c>
    </row>
    <row r="22" spans="1:10" ht="147.30000000000001" customHeight="1" x14ac:dyDescent="0.25">
      <c r="A22" s="5"/>
      <c r="B22" s="6" t="s">
        <v>48</v>
      </c>
      <c r="C22" s="15" t="str">
        <f>HYPERLINK("https://owasp.org/www-project-web-security-testing-guide/latest/4-Web_Application_Security_Testing/02-Configuration_and_Deployment_Management_Testing/01-Test_Network_Infrastructure_Configuration", "Test Network Infrastructure Configuration")</f>
        <v>Test Network Infrastructure Configuration</v>
      </c>
      <c r="D22" s="7" t="s">
        <v>49</v>
      </c>
      <c r="E22" s="8" t="s">
        <v>4</v>
      </c>
      <c r="F22" s="8"/>
      <c r="G22" s="8"/>
      <c r="H22" s="8"/>
      <c r="I22" s="8"/>
      <c r="J22" s="8" t="s">
        <v>50</v>
      </c>
    </row>
    <row r="23" spans="1:10" ht="147.30000000000001" customHeight="1" x14ac:dyDescent="0.25">
      <c r="A23" s="5"/>
      <c r="B23" s="6" t="s">
        <v>51</v>
      </c>
      <c r="C23" s="15" t="str">
        <f>HYPERLINK("https://owasp.org/www-project-web-security-testing-guide/latest/4-Web_Application_Security_Testing/02-Configuration_and_Deployment_Management_Testing/02-Test_Application_Platform_Configuration", "Test Application Platform Configuration")</f>
        <v>Test Application Platform Configuration</v>
      </c>
      <c r="D23" s="7" t="s">
        <v>52</v>
      </c>
      <c r="E23" s="8" t="s">
        <v>4</v>
      </c>
      <c r="F23" s="8"/>
      <c r="G23" s="8"/>
      <c r="H23" s="8"/>
      <c r="I23" s="8"/>
      <c r="J23" s="8" t="s">
        <v>53</v>
      </c>
    </row>
    <row r="24" spans="1:10" ht="90.3" customHeight="1" x14ac:dyDescent="0.25">
      <c r="A24" s="5"/>
      <c r="B24" s="6" t="s">
        <v>54</v>
      </c>
      <c r="C24" s="15" t="str">
        <f>HYPERLINK("https://owasp.org/www-project-web-security-testing-guide/latest/4-Web_Application_Security_Testing/02-Configuration_and_Deployment_Management_Testing/03-Test_File_Extensions_Handling_for_Sensitive_Information", "Test File Extensions Handling for Sensitive Information")</f>
        <v>Test File Extensions Handling for Sensitive Information</v>
      </c>
      <c r="D24" s="7" t="s">
        <v>55</v>
      </c>
      <c r="E24" s="8" t="s">
        <v>4</v>
      </c>
      <c r="F24" s="8"/>
      <c r="G24" s="8"/>
      <c r="H24" s="8"/>
      <c r="I24" s="8"/>
      <c r="J24" s="8" t="s">
        <v>56</v>
      </c>
    </row>
    <row r="25" spans="1:10" ht="33" customHeight="1" x14ac:dyDescent="0.25">
      <c r="A25" s="5"/>
      <c r="B25" s="6" t="s">
        <v>57</v>
      </c>
      <c r="C25" s="15" t="str">
        <f>HYPERLINK("https://owasp.org/www-project-web-security-testing-guide/latest/4-Web_Application_Security_Testing/02-Configuration_and_Deployment_Management_Testing/04-Review_Old_Backup_and_Unreferenced_Files_for_Sensitive_Information", "Review Old Backup and Unreferenced Files for Sensitive Information")</f>
        <v>Review Old Backup and Unreferenced Files for Sensitive Information</v>
      </c>
      <c r="D25" s="7" t="s">
        <v>58</v>
      </c>
      <c r="E25" s="8" t="s">
        <v>6</v>
      </c>
      <c r="F25" s="8"/>
      <c r="G25" s="8"/>
      <c r="H25" s="8"/>
      <c r="I25" s="8"/>
      <c r="J25" s="8" t="s">
        <v>59</v>
      </c>
    </row>
    <row r="26" spans="1:10" ht="147.30000000000001" customHeight="1" x14ac:dyDescent="0.25">
      <c r="A26" s="5"/>
      <c r="B26" s="6" t="s">
        <v>60</v>
      </c>
      <c r="C26" s="15" t="str">
        <f>HYPERLINK("https://owasp.org/www-project-web-security-testing-guide/latest/4-Web_Application_Security_Testing/02-Configuration_and_Deployment_Management_Testing/05-Enumerate_Infrastructure_and_Application_Admin_Interfaces", "Enumerate Infrastructure and Application Admin Interfaces")</f>
        <v>Enumerate Infrastructure and Application Admin Interfaces</v>
      </c>
      <c r="D26" s="7" t="s">
        <v>61</v>
      </c>
      <c r="E26" s="8" t="s">
        <v>4</v>
      </c>
      <c r="F26" s="8"/>
      <c r="G26" s="8"/>
      <c r="H26" s="8"/>
      <c r="I26" s="8"/>
      <c r="J26" s="8" t="s">
        <v>62</v>
      </c>
    </row>
    <row r="27" spans="1:10" ht="147.30000000000001" customHeight="1" x14ac:dyDescent="0.25">
      <c r="A27" s="5"/>
      <c r="B27" s="6" t="s">
        <v>63</v>
      </c>
      <c r="C27" s="15" t="str">
        <f>HYPERLINK("https://owasp.org/www-project-web-security-testing-guide/latest/4-Web_Application_Security_Testing/02-Configuration_and_Deployment_Management_Testing/06-Test_HTTP_Methods", "Test HTTP Methods")</f>
        <v>Test HTTP Methods</v>
      </c>
      <c r="D27" s="7" t="s">
        <v>64</v>
      </c>
      <c r="E27" s="8" t="s">
        <v>4</v>
      </c>
      <c r="F27" s="8"/>
      <c r="G27" s="8"/>
      <c r="H27" s="8"/>
      <c r="I27" s="8"/>
      <c r="J27" s="8" t="s">
        <v>65</v>
      </c>
    </row>
    <row r="28" spans="1:10" ht="147.30000000000001" customHeight="1" x14ac:dyDescent="0.25">
      <c r="A28" s="5"/>
      <c r="B28" s="6" t="s">
        <v>66</v>
      </c>
      <c r="C28" s="15" t="str">
        <f>HYPERLINK("https://owasp.org/www-project-web-security-testing-guide/latest/4-Web_Application_Security_Testing/02-Configuration_and_Deployment_Management_Testing/07-Test_HTTP_Strict_Transport_Security", "Test HTTP Strict Transport Security")</f>
        <v>Test HTTP Strict Transport Security</v>
      </c>
      <c r="D28" s="7" t="s">
        <v>67</v>
      </c>
      <c r="E28" s="8" t="s">
        <v>4</v>
      </c>
      <c r="F28" s="8"/>
      <c r="G28" s="8"/>
      <c r="H28" s="8"/>
      <c r="I28" s="8"/>
      <c r="J28" s="8" t="s">
        <v>68</v>
      </c>
    </row>
    <row r="29" spans="1:10" ht="16.5" customHeight="1" x14ac:dyDescent="0.25">
      <c r="A29" s="5"/>
      <c r="B29" s="6" t="s">
        <v>69</v>
      </c>
      <c r="C29" s="15" t="str">
        <f>HYPERLINK("https://owasp.org/www-project-web-security-testing-guide/latest/4-Web_Application_Security_Testing/02-Configuration_and_Deployment_Management_Testing/08-Test_RIA_Cross_Domain_Policy", "Test RIA Cross Domain Policy")</f>
        <v>Test RIA Cross Domain Policy</v>
      </c>
      <c r="D29" s="7" t="s">
        <v>6</v>
      </c>
      <c r="E29" s="8" t="s">
        <v>6</v>
      </c>
      <c r="F29" s="8"/>
      <c r="G29" s="8"/>
      <c r="H29" s="8"/>
      <c r="I29" s="8"/>
      <c r="J29" s="8" t="s">
        <v>70</v>
      </c>
    </row>
    <row r="30" spans="1:10" ht="16.5" customHeight="1" x14ac:dyDescent="0.25">
      <c r="A30" s="5"/>
      <c r="B30" s="6" t="s">
        <v>71</v>
      </c>
      <c r="C30" s="15" t="str">
        <f>HYPERLINK("https://owasp.org/www-project-web-security-testing-guide/latest/4-Web_Application_Security_Testing/02-Configuration_and_Deployment_Management_Testing/09-Test_File_Permission", "Test File Permission")</f>
        <v>Test File Permission</v>
      </c>
      <c r="D30" s="7" t="s">
        <v>72</v>
      </c>
      <c r="E30" s="8" t="s">
        <v>6</v>
      </c>
      <c r="F30" s="8"/>
      <c r="G30" s="8"/>
      <c r="H30" s="8"/>
      <c r="I30" s="8"/>
      <c r="J30" s="8" t="s">
        <v>73</v>
      </c>
    </row>
    <row r="31" spans="1:10" ht="33" customHeight="1" x14ac:dyDescent="0.25">
      <c r="A31" s="5"/>
      <c r="B31" s="6" t="s">
        <v>74</v>
      </c>
      <c r="C31" s="15" t="str">
        <f>HYPERLINK("https://owasp.org/www-project-web-security-testing-guide/latest/4-Web_Application_Security_Testing/02-Configuration_and_Deployment_Management_Testing/10-Test_for_Subdomain_Takeover", "Test for Subdomain Takeover")</f>
        <v>Test for Subdomain Takeover</v>
      </c>
      <c r="D31" s="7" t="s">
        <v>75</v>
      </c>
      <c r="E31" s="8" t="s">
        <v>6</v>
      </c>
      <c r="F31" s="8"/>
      <c r="G31" s="8"/>
      <c r="H31" s="8"/>
      <c r="I31" s="8"/>
      <c r="J31" s="8" t="s">
        <v>76</v>
      </c>
    </row>
    <row r="32" spans="1:10" ht="33" customHeight="1" x14ac:dyDescent="0.25">
      <c r="A32" s="5"/>
      <c r="B32" s="6" t="s">
        <v>77</v>
      </c>
      <c r="C32" s="15" t="str">
        <f>HYPERLINK("https://owasp.org/www-project-web-security-testing-guide/latest/4-Web_Application_Security_Testing/02-Configuration_and_Deployment_Management_Testing/11-Test_Cloud_Storage", "Test Cloud Storage")</f>
        <v>Test Cloud Storage</v>
      </c>
      <c r="D32" s="7" t="s">
        <v>78</v>
      </c>
      <c r="E32" s="8" t="s">
        <v>6</v>
      </c>
      <c r="F32" s="8"/>
      <c r="G32" s="8"/>
      <c r="H32" s="8"/>
      <c r="I32" s="8"/>
      <c r="J32" s="8" t="s">
        <v>79</v>
      </c>
    </row>
    <row r="33" spans="1:10" ht="147.30000000000001" customHeight="1" x14ac:dyDescent="0.25">
      <c r="A33" s="5"/>
      <c r="B33" s="6" t="s">
        <v>80</v>
      </c>
      <c r="C33" s="15" t="str">
        <f>HYPERLINK("https://owasp.org/www-project-web-security-testing-guide/latest/4-Web_Application_Security_Testing/02-Configuration_and_Deployment_Management_Testing/12-Test_for_Content_Security_Policy", "Testing for Content Security Policy")</f>
        <v>Testing for Content Security Policy</v>
      </c>
      <c r="D33" s="7" t="s">
        <v>81</v>
      </c>
      <c r="E33" s="8" t="s">
        <v>5</v>
      </c>
      <c r="F33" s="8"/>
      <c r="G33" s="8"/>
      <c r="H33" s="8"/>
      <c r="I33" s="8"/>
      <c r="J33" s="8" t="s">
        <v>82</v>
      </c>
    </row>
    <row r="34" spans="1:10" ht="64.5" customHeight="1" x14ac:dyDescent="0.25">
      <c r="A34" s="5"/>
      <c r="B34" s="6" t="s">
        <v>83</v>
      </c>
      <c r="C34" s="15" t="str">
        <f>HYPERLINK("https://owasp.org/www-project-web-security-testing-guide/latest/4-Web_Application_Security_Testing/02-Configuration_and_Deployment_Management_Testing/13-Test_for_Path_Confusion", "Test Path Confusion")</f>
        <v>Test Path Confusion</v>
      </c>
      <c r="D34" s="7" t="s">
        <v>84</v>
      </c>
      <c r="E34" s="8" t="s">
        <v>6</v>
      </c>
      <c r="F34" s="8"/>
      <c r="G34" s="8"/>
      <c r="H34" s="8"/>
      <c r="I34" s="8"/>
      <c r="J34" s="8" t="s">
        <v>85</v>
      </c>
    </row>
    <row r="35" spans="1:10" ht="147.30000000000001" customHeight="1" x14ac:dyDescent="0.25">
      <c r="A35" s="5"/>
      <c r="B35" s="6" t="s">
        <v>86</v>
      </c>
      <c r="C35" s="15" t="str">
        <f>HYPERLINK("https://owasp.org/www-project-web-security-testing-guide/latest/4-Web_Application_Security_Testing/02-Configuration_and_Deployment_Management_Testing/14-Test_Other_HTTP_Security_Header_Misconfigurations", "Test Other HTTP Security Header Misconfigurations")</f>
        <v>Test Other HTTP Security Header Misconfigurations</v>
      </c>
      <c r="D35" s="7" t="s">
        <v>87</v>
      </c>
      <c r="E35" s="8" t="s">
        <v>4</v>
      </c>
      <c r="F35" s="8"/>
      <c r="G35" s="8"/>
      <c r="H35" s="8"/>
      <c r="I35" s="8"/>
      <c r="J35" s="8" t="s">
        <v>88</v>
      </c>
    </row>
    <row r="36" spans="1:10" ht="15" customHeight="1" x14ac:dyDescent="0.25">
      <c r="A36" s="2"/>
      <c r="B36" s="3"/>
      <c r="C36" s="2"/>
      <c r="D36" s="2"/>
      <c r="E36" s="2"/>
      <c r="F36" s="2"/>
      <c r="G36" s="2"/>
      <c r="H36" s="2"/>
      <c r="I36" s="2"/>
      <c r="J36" s="2"/>
    </row>
    <row r="37" spans="1:10" ht="47.25" customHeight="1" x14ac:dyDescent="0.25">
      <c r="A37" s="4"/>
      <c r="B37" s="10" t="s">
        <v>89</v>
      </c>
      <c r="C37" s="11" t="s">
        <v>10</v>
      </c>
      <c r="D37" s="11" t="s">
        <v>11</v>
      </c>
      <c r="E37" s="11" t="s">
        <v>12</v>
      </c>
      <c r="F37" s="11"/>
      <c r="G37" s="11"/>
      <c r="H37" s="11"/>
      <c r="I37" s="11"/>
      <c r="J37" s="11" t="s">
        <v>17</v>
      </c>
    </row>
    <row r="38" spans="1:10" ht="161.55000000000001" customHeight="1" x14ac:dyDescent="0.25">
      <c r="A38" s="5"/>
      <c r="B38" s="6" t="s">
        <v>90</v>
      </c>
      <c r="C38" s="15" t="str">
        <f>HYPERLINK("https://owasp.org/www-project-web-security-testing-guide/latest/4-Web_Application_Security_Testing/03-Identity_Management_Testing/01-Test_Role_Definitions", "Test Role Definitions")</f>
        <v>Test Role Definitions</v>
      </c>
      <c r="D38" s="7" t="s">
        <v>91</v>
      </c>
      <c r="E38" s="8" t="s">
        <v>4</v>
      </c>
      <c r="F38" s="8"/>
      <c r="G38" s="8"/>
      <c r="H38" s="8"/>
      <c r="I38" s="8"/>
      <c r="J38" s="8" t="s">
        <v>92</v>
      </c>
    </row>
    <row r="39" spans="1:10" ht="49.5" customHeight="1" x14ac:dyDescent="0.25">
      <c r="A39" s="5"/>
      <c r="B39" s="6" t="s">
        <v>93</v>
      </c>
      <c r="C39" s="15" t="str">
        <f>HYPERLINK("https://owasp.org/www-project-web-security-testing-guide/latest/4-Web_Application_Security_Testing/03-Identity_Management_Testing/02-Test_User_Registration_Process", "Test User Registration Process")</f>
        <v>Test User Registration Process</v>
      </c>
      <c r="D39" s="7" t="s">
        <v>94</v>
      </c>
      <c r="E39" s="8" t="s">
        <v>6</v>
      </c>
      <c r="F39" s="8"/>
      <c r="G39" s="8"/>
      <c r="H39" s="8"/>
      <c r="I39" s="8"/>
      <c r="J39" s="8" t="s">
        <v>95</v>
      </c>
    </row>
    <row r="40" spans="1:10" ht="33" customHeight="1" x14ac:dyDescent="0.25">
      <c r="A40" s="5"/>
      <c r="B40" s="6" t="s">
        <v>96</v>
      </c>
      <c r="C40" s="15" t="str">
        <f>HYPERLINK("https://owasp.org/www-project-web-security-testing-guide/latest/4-Web_Application_Security_Testing/03-Identity_Management_Testing/03-Test_Account_Provisioning_Process", "Test Account Provisioning Process")</f>
        <v>Test Account Provisioning Process</v>
      </c>
      <c r="D40" s="7" t="s">
        <v>97</v>
      </c>
      <c r="E40" s="8" t="s">
        <v>6</v>
      </c>
      <c r="F40" s="8"/>
      <c r="G40" s="8"/>
      <c r="H40" s="8"/>
      <c r="I40" s="8"/>
      <c r="J40" s="8" t="s">
        <v>98</v>
      </c>
    </row>
    <row r="41" spans="1:10" ht="49.5" customHeight="1" x14ac:dyDescent="0.25">
      <c r="A41" s="5"/>
      <c r="B41" s="6" t="s">
        <v>99</v>
      </c>
      <c r="C41" s="15" t="str">
        <f>HYPERLINK("https://owasp.org/www-project-web-security-testing-guide/latest/4-Web_Application_Security_Testing/03-Identity_Management_Testing/04-Testing_for_Account_Enumeration_and_Guessable_User_Account", "Testing for Account Enumeration and Guessable User Account")</f>
        <v>Testing for Account Enumeration and Guessable User Account</v>
      </c>
      <c r="D41" s="7" t="s">
        <v>100</v>
      </c>
      <c r="E41" s="8" t="s">
        <v>6</v>
      </c>
      <c r="F41" s="8"/>
      <c r="G41" s="8"/>
      <c r="H41" s="8"/>
      <c r="I41" s="8"/>
      <c r="J41" s="8" t="s">
        <v>101</v>
      </c>
    </row>
    <row r="42" spans="1:10" ht="66" customHeight="1" x14ac:dyDescent="0.25">
      <c r="A42" s="5"/>
      <c r="B42" s="6" t="s">
        <v>102</v>
      </c>
      <c r="C42" s="15" t="str">
        <f>HYPERLINK("https://owasp.org/www-project-web-security-testing-guide/latest/4-Web_Application_Security_Testing/03-Identity_Management_Testing/05-Testing_for_Weak_or_Unenforced_Username_Policy", "Testing for Weak or Unenforced Username Policy")</f>
        <v>Testing for Weak or Unenforced Username Policy</v>
      </c>
      <c r="D42" s="7" t="s">
        <v>103</v>
      </c>
      <c r="E42" s="8" t="s">
        <v>6</v>
      </c>
      <c r="F42" s="8"/>
      <c r="G42" s="8"/>
      <c r="H42" s="8"/>
      <c r="I42" s="8"/>
      <c r="J42" s="8" t="s">
        <v>104</v>
      </c>
    </row>
    <row r="43" spans="1:10" ht="15" customHeight="1" x14ac:dyDescent="0.25">
      <c r="A43" s="2"/>
      <c r="B43" s="3"/>
      <c r="C43" s="2"/>
      <c r="D43" s="2"/>
      <c r="E43" s="2"/>
      <c r="F43" s="2"/>
      <c r="G43" s="2"/>
      <c r="H43" s="2"/>
      <c r="I43" s="2"/>
      <c r="J43" s="2"/>
    </row>
    <row r="44" spans="1:10" ht="47.25" customHeight="1" x14ac:dyDescent="0.25">
      <c r="A44" s="4"/>
      <c r="B44" s="10" t="s">
        <v>105</v>
      </c>
      <c r="C44" s="11" t="s">
        <v>10</v>
      </c>
      <c r="D44" s="11" t="s">
        <v>11</v>
      </c>
      <c r="E44" s="11" t="s">
        <v>12</v>
      </c>
      <c r="F44" s="11"/>
      <c r="G44" s="11"/>
      <c r="H44" s="11"/>
      <c r="I44" s="11"/>
      <c r="J44" s="11" t="s">
        <v>17</v>
      </c>
    </row>
    <row r="45" spans="1:10" ht="133.05000000000001" customHeight="1" x14ac:dyDescent="0.25">
      <c r="A45" s="5"/>
      <c r="B45" s="6" t="s">
        <v>106</v>
      </c>
      <c r="C45" s="15" t="str">
        <f>HYPERLINK("https://owasp.org/www-project-web-security-testing-guide/latest/4-Web_Application_Security_Testing/04-Authentication_Testing/01-Testing_for_Credentials_Transported_over_an_Encrypted_Channel", "Testing for Credentials Transported over an Encrypted Channel")</f>
        <v>Testing for Credentials Transported over an Encrypted Channel</v>
      </c>
      <c r="D45" s="7" t="s">
        <v>6</v>
      </c>
      <c r="E45" s="8" t="s">
        <v>4</v>
      </c>
      <c r="F45" s="8"/>
      <c r="G45" s="8"/>
      <c r="H45" s="8"/>
      <c r="I45" s="8"/>
      <c r="J45" s="8" t="s">
        <v>107</v>
      </c>
    </row>
    <row r="46" spans="1:10" ht="133.05000000000001" customHeight="1" x14ac:dyDescent="0.25">
      <c r="A46" s="5"/>
      <c r="B46" s="6" t="s">
        <v>108</v>
      </c>
      <c r="C46" s="15" t="str">
        <f>HYPERLINK("https://owasp.org/www-project-web-security-testing-guide/latest/4-Web_Application_Security_Testing/04-Authentication_Testing/02-Testing_for_Default_Credentials", "Testing for Default Credentials")</f>
        <v>Testing for Default Credentials</v>
      </c>
      <c r="D46" s="7" t="s">
        <v>109</v>
      </c>
      <c r="E46" s="8" t="s">
        <v>5</v>
      </c>
      <c r="F46" s="8"/>
      <c r="G46" s="8"/>
      <c r="H46" s="8"/>
      <c r="I46" s="8"/>
      <c r="J46" s="8" t="s">
        <v>110</v>
      </c>
    </row>
    <row r="47" spans="1:10" ht="90.3" customHeight="1" x14ac:dyDescent="0.25">
      <c r="A47" s="5"/>
      <c r="B47" s="6" t="s">
        <v>111</v>
      </c>
      <c r="C47" s="15" t="str">
        <f>HYPERLINK("https://owasp.org/www-project-web-security-testing-guide/latest/4-Web_Application_Security_Testing/04-Authentication_Testing/03-Testing_for_Weak_Lock_Out_Mechanism", "Testing for Weak Lock Out Mechanism")</f>
        <v>Testing for Weak Lock Out Mechanism</v>
      </c>
      <c r="D47" s="7" t="s">
        <v>112</v>
      </c>
      <c r="E47" s="8" t="s">
        <v>4</v>
      </c>
      <c r="F47" s="8"/>
      <c r="G47" s="8"/>
      <c r="H47" s="8"/>
      <c r="I47" s="8"/>
      <c r="J47" s="8" t="s">
        <v>113</v>
      </c>
    </row>
    <row r="48" spans="1:10" ht="133.05000000000001" customHeight="1" x14ac:dyDescent="0.25">
      <c r="A48" s="5"/>
      <c r="B48" s="6" t="s">
        <v>114</v>
      </c>
      <c r="C48" s="15" t="str">
        <f>HYPERLINK("https://owasp.org/www-project-web-security-testing-guide/latest/4-Web_Application_Security_Testing/04-Authentication_Testing/04-Testing_for_Bypassing_Authentication_Schema", "Testing for Bypassing Authentication Schema")</f>
        <v>Testing for Bypassing Authentication Schema</v>
      </c>
      <c r="D48" s="7" t="s">
        <v>115</v>
      </c>
      <c r="E48" s="8" t="s">
        <v>4</v>
      </c>
      <c r="F48" s="8"/>
      <c r="G48" s="8"/>
      <c r="H48" s="8"/>
      <c r="I48" s="8"/>
      <c r="J48" s="8" t="s">
        <v>116</v>
      </c>
    </row>
    <row r="49" spans="1:10" ht="33" customHeight="1" x14ac:dyDescent="0.25">
      <c r="A49" s="5"/>
      <c r="B49" s="6" t="s">
        <v>117</v>
      </c>
      <c r="C49" s="15" t="str">
        <f>HYPERLINK("https://owasp.org/www-project-web-security-testing-guide/latest/4-Web_Application_Security_Testing/04-Authentication_Testing/05-Testing_for_Vulnerable_Remember_Password", "Testing for Vulnerable Remember Password")</f>
        <v>Testing for Vulnerable Remember Password</v>
      </c>
      <c r="D49" s="7" t="s">
        <v>118</v>
      </c>
      <c r="E49" s="8" t="s">
        <v>6</v>
      </c>
      <c r="F49" s="8"/>
      <c r="G49" s="8"/>
      <c r="H49" s="8"/>
      <c r="I49" s="8"/>
      <c r="J49" s="8" t="s">
        <v>119</v>
      </c>
    </row>
    <row r="50" spans="1:10" ht="49.5" customHeight="1" x14ac:dyDescent="0.25">
      <c r="A50" s="5"/>
      <c r="B50" s="6" t="s">
        <v>120</v>
      </c>
      <c r="C50" s="15" t="str">
        <f>HYPERLINK("https://owasp.org/www-project-web-security-testing-guide/latest/4-Web_Application_Security_Testing/04-Authentication_Testing/06-Testing_for_Browser_Cache_Weaknesses", "Testing for Browser Cache Weaknesses")</f>
        <v>Testing for Browser Cache Weaknesses</v>
      </c>
      <c r="D50" s="7" t="s">
        <v>121</v>
      </c>
      <c r="E50" s="8" t="s">
        <v>6</v>
      </c>
      <c r="F50" s="8"/>
      <c r="G50" s="8"/>
      <c r="H50" s="8"/>
      <c r="I50" s="8"/>
      <c r="J50" s="8" t="s">
        <v>122</v>
      </c>
    </row>
    <row r="51" spans="1:10" ht="118.8" customHeight="1" x14ac:dyDescent="0.25">
      <c r="A51" s="5"/>
      <c r="B51" s="6" t="s">
        <v>123</v>
      </c>
      <c r="C51" s="15" t="str">
        <f>HYPERLINK("https://owasp.org/www-project-web-security-testing-guide/latest/4-Web_Application_Security_Testing/04-Authentication_Testing/07-Testing_for_Weak_Authentication_Methods", "Testing for Weak Authentication Methods")</f>
        <v>Testing for Weak Authentication Methods</v>
      </c>
      <c r="D51" s="7" t="s">
        <v>124</v>
      </c>
      <c r="E51" s="8" t="s">
        <v>4</v>
      </c>
      <c r="F51" s="8"/>
      <c r="G51" s="8"/>
      <c r="H51" s="8"/>
      <c r="I51" s="8"/>
      <c r="J51" s="8" t="s">
        <v>125</v>
      </c>
    </row>
    <row r="52" spans="1:10" ht="49.5" customHeight="1" x14ac:dyDescent="0.25">
      <c r="A52" s="5"/>
      <c r="B52" s="6" t="s">
        <v>126</v>
      </c>
      <c r="C52" s="15" t="str">
        <f>HYPERLINK("https://owasp.org/www-project-web-security-testing-guide/latest/4-Web_Application_Security_Testing/04-Authentication_Testing/08-Testing_for_Weak_Security_Question_Answer", "Testing for Weak Security Question Answer")</f>
        <v>Testing for Weak Security Question Answer</v>
      </c>
      <c r="D52" s="7" t="s">
        <v>127</v>
      </c>
      <c r="E52" s="8" t="s">
        <v>6</v>
      </c>
      <c r="F52" s="8"/>
      <c r="G52" s="8"/>
      <c r="H52" s="8"/>
      <c r="I52" s="8"/>
      <c r="J52" s="8" t="s">
        <v>128</v>
      </c>
    </row>
    <row r="53" spans="1:10" ht="33" customHeight="1" x14ac:dyDescent="0.25">
      <c r="A53" s="5"/>
      <c r="B53" s="6" t="s">
        <v>129</v>
      </c>
      <c r="C53" s="15" t="str">
        <f>HYPERLINK("https://owasp.org/www-project-web-security-testing-guide/latest/4-Web_Application_Security_Testing/04-Authentication_Testing/09-Testing_for_Weak_Password_Change_or_Reset_Functionalities", "Testing for Weak Password Change or Reset Functionalities")</f>
        <v>Testing for Weak Password Change or Reset Functionalities</v>
      </c>
      <c r="D53" s="7" t="s">
        <v>130</v>
      </c>
      <c r="E53" s="8" t="s">
        <v>6</v>
      </c>
      <c r="F53" s="8"/>
      <c r="G53" s="8"/>
      <c r="H53" s="8"/>
      <c r="I53" s="8"/>
      <c r="J53" s="8" t="s">
        <v>131</v>
      </c>
    </row>
    <row r="54" spans="1:10" ht="49.5" customHeight="1" x14ac:dyDescent="0.25">
      <c r="A54" s="5"/>
      <c r="B54" s="6" t="s">
        <v>132</v>
      </c>
      <c r="C54" s="15" t="str">
        <f>HYPERLINK("https://owasp.org/www-project-web-security-testing-guide/latest/4-Web_Application_Security_Testing/04-Authentication_Testing/10-Testing_for_Weaker_Authentication_in_Alternative_Channel", "Testing for Weaker Authentication in Alternative Channel")</f>
        <v>Testing for Weaker Authentication in Alternative Channel</v>
      </c>
      <c r="D54" s="7" t="s">
        <v>133</v>
      </c>
      <c r="E54" s="8" t="s">
        <v>6</v>
      </c>
      <c r="F54" s="8"/>
      <c r="G54" s="8"/>
      <c r="H54" s="8"/>
      <c r="I54" s="8"/>
      <c r="J54" s="8" t="s">
        <v>134</v>
      </c>
    </row>
    <row r="55" spans="1:10" ht="66" customHeight="1" x14ac:dyDescent="0.25">
      <c r="A55" s="5"/>
      <c r="B55" s="6" t="s">
        <v>135</v>
      </c>
      <c r="C55" s="15" t="str">
        <f>HYPERLINK("https://owasp.org/www-project-web-security-testing-guide/latest/4-Web_Application_Security_Testing/04-Authentication_Testing/11-Testing_Multi-Factor_Authentication", "Testing Multi-Factor Authentication (MFA)")</f>
        <v>Testing Multi-Factor Authentication (MFA)</v>
      </c>
      <c r="D55" s="7" t="s">
        <v>136</v>
      </c>
      <c r="E55" s="8" t="s">
        <v>6</v>
      </c>
      <c r="F55" s="8"/>
      <c r="G55" s="8"/>
      <c r="H55" s="8"/>
      <c r="I55" s="8"/>
      <c r="J55" s="8" t="s">
        <v>137</v>
      </c>
    </row>
    <row r="56" spans="1:10" ht="15" customHeight="1" x14ac:dyDescent="0.25">
      <c r="A56" s="2"/>
      <c r="B56" s="3"/>
      <c r="C56" s="2"/>
      <c r="D56" s="2"/>
      <c r="E56" s="2"/>
      <c r="F56" s="2"/>
      <c r="G56" s="2"/>
      <c r="H56" s="2"/>
      <c r="I56" s="2"/>
      <c r="J56" s="2"/>
    </row>
    <row r="57" spans="1:10" ht="47.25" customHeight="1" x14ac:dyDescent="0.25">
      <c r="A57" s="4"/>
      <c r="B57" s="10" t="s">
        <v>138</v>
      </c>
      <c r="C57" s="11" t="s">
        <v>10</v>
      </c>
      <c r="D57" s="11" t="s">
        <v>11</v>
      </c>
      <c r="E57" s="11" t="s">
        <v>12</v>
      </c>
      <c r="F57" s="11"/>
      <c r="G57" s="11"/>
      <c r="H57" s="11"/>
      <c r="I57" s="11"/>
      <c r="J57" s="11" t="s">
        <v>17</v>
      </c>
    </row>
    <row r="58" spans="1:10" ht="90.3" customHeight="1" x14ac:dyDescent="0.25">
      <c r="A58" s="5"/>
      <c r="B58" s="6" t="s">
        <v>139</v>
      </c>
      <c r="C58" s="15" t="str">
        <f>HYPERLINK("https://owasp.org/www-project-web-security-testing-guide/latest/4-Web_Application_Security_Testing/05-Authorization_Testing/01-Testing_Directory_Traversal_File_Include", "Testing Directory Traversal File Include")</f>
        <v>Testing Directory Traversal File Include</v>
      </c>
      <c r="D58" s="7" t="s">
        <v>140</v>
      </c>
      <c r="E58" s="8" t="s">
        <v>4</v>
      </c>
      <c r="F58" s="8"/>
      <c r="G58" s="8"/>
      <c r="H58" s="8"/>
      <c r="I58" s="8"/>
      <c r="J58" s="8" t="s">
        <v>141</v>
      </c>
    </row>
    <row r="59" spans="1:10" ht="147.30000000000001" customHeight="1" x14ac:dyDescent="0.25">
      <c r="A59" s="5"/>
      <c r="B59" s="6" t="s">
        <v>142</v>
      </c>
      <c r="C59" s="15" t="str">
        <f>HYPERLINK("https://owasp.org/www-project-web-security-testing-guide/latest/4-Web_Application_Security_Testing/05-Authorization_Testing/02-Testing_for_Bypassing_Authorization_Schema", "Testing for Bypassing Authorization Schema")</f>
        <v>Testing for Bypassing Authorization Schema</v>
      </c>
      <c r="D59" s="7" t="s">
        <v>143</v>
      </c>
      <c r="E59" s="8" t="s">
        <v>4</v>
      </c>
      <c r="F59" s="8"/>
      <c r="G59" s="8"/>
      <c r="H59" s="8"/>
      <c r="I59" s="8"/>
      <c r="J59" s="8" t="s">
        <v>144</v>
      </c>
    </row>
    <row r="60" spans="1:10" ht="133.05000000000001" customHeight="1" x14ac:dyDescent="0.25">
      <c r="A60" s="5"/>
      <c r="B60" s="6" t="s">
        <v>145</v>
      </c>
      <c r="C60" s="15" t="str">
        <f>HYPERLINK("https://owasp.org/www-project-web-security-testing-guide/latest/4-Web_Application_Security_Testing/05-Authorization_Testing/03-Testing_for_Privilege_Escalation", "Testing for Privilege Escalation")</f>
        <v>Testing for Privilege Escalation</v>
      </c>
      <c r="D60" s="7" t="s">
        <v>146</v>
      </c>
      <c r="E60" s="8" t="s">
        <v>4</v>
      </c>
      <c r="F60" s="8"/>
      <c r="G60" s="8"/>
      <c r="H60" s="8"/>
      <c r="I60" s="8"/>
      <c r="J60" s="8" t="s">
        <v>147</v>
      </c>
    </row>
    <row r="61" spans="1:10" ht="118.8" customHeight="1" x14ac:dyDescent="0.25">
      <c r="A61" s="5"/>
      <c r="B61" s="6" t="s">
        <v>148</v>
      </c>
      <c r="C61" s="15" t="str">
        <f>HYPERLINK("https://owasp.org/www-project-web-security-testing-guide/latest/4-Web_Application_Security_Testing/05-Authorization_Testing/04-Testing_for_Insecure_Direct_Object_References", "Testing for Insecure Direct Object References")</f>
        <v>Testing for Insecure Direct Object References</v>
      </c>
      <c r="D61" s="7" t="s">
        <v>149</v>
      </c>
      <c r="E61" s="8" t="s">
        <v>5</v>
      </c>
      <c r="F61" s="8"/>
      <c r="G61" s="8"/>
      <c r="H61" s="8"/>
      <c r="I61" s="8"/>
      <c r="J61" s="8" t="s">
        <v>150</v>
      </c>
    </row>
    <row r="62" spans="1:10" ht="57" customHeight="1" x14ac:dyDescent="0.25">
      <c r="A62" s="5"/>
      <c r="B62" s="6" t="s">
        <v>151</v>
      </c>
      <c r="C62" s="15" t="str">
        <f>HYPERLINK("https://owasp.org/www-project-web-security-testing-guide/latest/4-Web_Application_Security_Testing/05-Authorization_Testing/05-Testing_for_OAuth_Weaknesses", "Testing for OAuth Weaknesses")</f>
        <v>Testing for OAuth Weaknesses</v>
      </c>
      <c r="D62" s="7" t="s">
        <v>152</v>
      </c>
      <c r="E62" s="8" t="s">
        <v>6</v>
      </c>
      <c r="F62" s="8"/>
      <c r="G62" s="8"/>
      <c r="H62" s="8"/>
      <c r="I62" s="8"/>
      <c r="J62" s="8" t="s">
        <v>153</v>
      </c>
    </row>
    <row r="63" spans="1:10" ht="15" customHeight="1" x14ac:dyDescent="0.25">
      <c r="A63" s="2"/>
      <c r="B63" s="3"/>
      <c r="C63" s="2"/>
      <c r="D63" s="2"/>
      <c r="E63" s="2"/>
      <c r="F63" s="2"/>
      <c r="G63" s="2"/>
      <c r="H63" s="2"/>
      <c r="I63" s="2"/>
      <c r="J63" s="2"/>
    </row>
    <row r="64" spans="1:10" ht="47.25" customHeight="1" x14ac:dyDescent="0.25">
      <c r="A64" s="4"/>
      <c r="B64" s="10" t="s">
        <v>154</v>
      </c>
      <c r="C64" s="11" t="s">
        <v>10</v>
      </c>
      <c r="D64" s="11" t="s">
        <v>11</v>
      </c>
      <c r="E64" s="11" t="s">
        <v>12</v>
      </c>
      <c r="F64" s="11"/>
      <c r="G64" s="11"/>
      <c r="H64" s="11"/>
      <c r="I64" s="11"/>
      <c r="J64" s="11" t="s">
        <v>17</v>
      </c>
    </row>
    <row r="65" spans="1:10" ht="104.55" customHeight="1" x14ac:dyDescent="0.25">
      <c r="A65" s="5"/>
      <c r="B65" s="6" t="s">
        <v>155</v>
      </c>
      <c r="C65" s="15" t="str">
        <f>HYPERLINK("https://owasp.org/www-project-web-security-testing-guide/latest/4-Web_Application_Security_Testing/06-Session_Management_Testing/01-Testing_for_Session_Management_Schema", "Testing for Session Management Schema")</f>
        <v>Testing for Session Management Schema</v>
      </c>
      <c r="D65" s="7" t="s">
        <v>156</v>
      </c>
      <c r="E65" s="8" t="s">
        <v>4</v>
      </c>
      <c r="F65" s="8"/>
      <c r="G65" s="8"/>
      <c r="H65" s="8"/>
      <c r="I65" s="8"/>
      <c r="J65" s="8" t="s">
        <v>157</v>
      </c>
    </row>
    <row r="66" spans="1:10" ht="61.5" customHeight="1" x14ac:dyDescent="0.25">
      <c r="A66" s="5"/>
      <c r="B66" s="6" t="s">
        <v>158</v>
      </c>
      <c r="C66" s="15" t="str">
        <f>HYPERLINK("https://owasp.org/www-project-web-security-testing-guide/latest/4-Web_Application_Security_Testing/06-Session_Management_Testing/02-Testing_for_Cookies_Attributes", "Testing for Cookies Attributes")</f>
        <v>Testing for Cookies Attributes</v>
      </c>
      <c r="D66" s="7" t="s">
        <v>159</v>
      </c>
      <c r="E66" s="8" t="s">
        <v>6</v>
      </c>
      <c r="F66" s="8"/>
      <c r="G66" s="8"/>
      <c r="H66" s="8"/>
      <c r="I66" s="8"/>
      <c r="J66" s="8" t="s">
        <v>160</v>
      </c>
    </row>
    <row r="67" spans="1:10" ht="33" customHeight="1" x14ac:dyDescent="0.25">
      <c r="A67" s="5"/>
      <c r="B67" s="6" t="s">
        <v>161</v>
      </c>
      <c r="C67" s="15" t="str">
        <f>HYPERLINK("https://owasp.org/www-project-web-security-testing-guide/latest/4-Web_Application_Security_Testing/06-Session_Management_Testing/03-Testing_for_Session_Fixation", "Testing for Session Fixation")</f>
        <v>Testing for Session Fixation</v>
      </c>
      <c r="D67" s="7" t="s">
        <v>162</v>
      </c>
      <c r="E67" s="8" t="s">
        <v>6</v>
      </c>
      <c r="F67" s="8"/>
      <c r="G67" s="8"/>
      <c r="H67" s="8"/>
      <c r="I67" s="8"/>
      <c r="J67" s="8" t="s">
        <v>163</v>
      </c>
    </row>
    <row r="68" spans="1:10" ht="76.05" customHeight="1" x14ac:dyDescent="0.25">
      <c r="A68" s="5"/>
      <c r="B68" s="6" t="s">
        <v>164</v>
      </c>
      <c r="C68" s="15" t="str">
        <f>HYPERLINK("https://owasp.org/www-project-web-security-testing-guide/latest/4-Web_Application_Security_Testing/06-Session_Management_Testing/04-Testing_for_Exposed_Session_Variables", "Testing for Exposed Session Variables")</f>
        <v>Testing for Exposed Session Variables</v>
      </c>
      <c r="D68" s="7" t="s">
        <v>165</v>
      </c>
      <c r="E68" s="8" t="s">
        <v>4</v>
      </c>
      <c r="F68" s="8"/>
      <c r="G68" s="8"/>
      <c r="H68" s="8"/>
      <c r="I68" s="8"/>
      <c r="J68" s="8" t="s">
        <v>166</v>
      </c>
    </row>
    <row r="69" spans="1:10" ht="76.05" customHeight="1" x14ac:dyDescent="0.25">
      <c r="A69" s="5"/>
      <c r="B69" s="6" t="s">
        <v>167</v>
      </c>
      <c r="C69" s="15" t="str">
        <f>HYPERLINK("https://owasp.org/www-project-web-security-testing-guide/latest/4-Web_Application_Security_Testing/06-Session_Management_Testing/05-Testing_for_Cross_Site_Request_Forgery", "Testing for Cross Site Request Forgery")</f>
        <v>Testing for Cross Site Request Forgery</v>
      </c>
      <c r="D69" s="7" t="s">
        <v>168</v>
      </c>
      <c r="E69" s="8" t="s">
        <v>4</v>
      </c>
      <c r="F69" s="8"/>
      <c r="G69" s="8"/>
      <c r="H69" s="8"/>
      <c r="I69" s="8"/>
      <c r="J69" s="8" t="s">
        <v>169</v>
      </c>
    </row>
    <row r="70" spans="1:10" ht="76.05" customHeight="1" x14ac:dyDescent="0.25">
      <c r="A70" s="5"/>
      <c r="B70" s="6" t="s">
        <v>170</v>
      </c>
      <c r="C70" s="15" t="str">
        <f>HYPERLINK("https://owasp.org/www-project-web-security-testing-guide/latest/4-Web_Application_Security_Testing/06-Session_Management_Testing/06-Testing_for_Logout_Functionality", "Testing for Logout Functionality")</f>
        <v>Testing for Logout Functionality</v>
      </c>
      <c r="D70" s="7" t="s">
        <v>171</v>
      </c>
      <c r="E70" s="8" t="s">
        <v>5</v>
      </c>
      <c r="F70" s="8"/>
      <c r="G70" s="8"/>
      <c r="H70" s="8"/>
      <c r="I70" s="8"/>
      <c r="J70" s="8" t="s">
        <v>172</v>
      </c>
    </row>
    <row r="71" spans="1:10" ht="76.05" customHeight="1" x14ac:dyDescent="0.25">
      <c r="A71" s="5"/>
      <c r="B71" s="6" t="s">
        <v>173</v>
      </c>
      <c r="C71" s="15" t="str">
        <f>HYPERLINK("https://owasp.org/www-project-web-security-testing-guide/latest/4-Web_Application_Security_Testing/06-Session_Management_Testing/07-Testing_Session_Timeout", "Testing Session Timeout")</f>
        <v>Testing Session Timeout</v>
      </c>
      <c r="D71" s="7" t="s">
        <v>174</v>
      </c>
      <c r="E71" s="8" t="s">
        <v>4</v>
      </c>
      <c r="F71" s="8"/>
      <c r="G71" s="8"/>
      <c r="H71" s="8"/>
      <c r="I71" s="8"/>
      <c r="J71" s="8" t="s">
        <v>175</v>
      </c>
    </row>
    <row r="72" spans="1:10" ht="33" customHeight="1" x14ac:dyDescent="0.25">
      <c r="A72" s="5"/>
      <c r="B72" s="6" t="s">
        <v>176</v>
      </c>
      <c r="C72" s="15" t="str">
        <f>HYPERLINK("https://owasp.org/www-project-web-security-testing-guide/latest/4-Web_Application_Security_Testing/06-Session_Management_Testing/08-Testing_for_Session_Puzzling", "Testing for Session Puzzling")</f>
        <v>Testing for Session Puzzling</v>
      </c>
      <c r="D72" s="7" t="s">
        <v>177</v>
      </c>
      <c r="E72" s="8" t="s">
        <v>6</v>
      </c>
      <c r="F72" s="8"/>
      <c r="G72" s="8"/>
      <c r="H72" s="8"/>
      <c r="I72" s="8"/>
      <c r="J72" s="8" t="s">
        <v>178</v>
      </c>
    </row>
    <row r="73" spans="1:10" ht="76.05" customHeight="1" x14ac:dyDescent="0.25">
      <c r="A73" s="5"/>
      <c r="B73" s="6" t="s">
        <v>179</v>
      </c>
      <c r="C73" s="15" t="str">
        <f>HYPERLINK("https://owasp.org/www-project-web-security-testing-guide/latest/4-Web_Application_Security_Testing/06-Session_Management_Testing/09-Testing_for_Session_Hijacking", "Testing for Session Hijacking")</f>
        <v>Testing for Session Hijacking</v>
      </c>
      <c r="D73" s="7" t="s">
        <v>180</v>
      </c>
      <c r="E73" s="8" t="s">
        <v>4</v>
      </c>
      <c r="F73" s="8"/>
      <c r="G73" s="8"/>
      <c r="H73" s="8"/>
      <c r="I73" s="8"/>
      <c r="J73" s="8" t="s">
        <v>181</v>
      </c>
    </row>
    <row r="74" spans="1:10" ht="133.05000000000001" customHeight="1" x14ac:dyDescent="0.25">
      <c r="A74" s="5"/>
      <c r="B74" s="6" t="s">
        <v>182</v>
      </c>
      <c r="C74" s="15" t="str">
        <f>HYPERLINK("https://owasp.org/www-project-web-security-testing-guide/latest/4-Web_Application_Security_Testing/06-Session_Management_Testing/10-Testing_JSON_Web_Tokens", "Testing JSON Web Tokens")</f>
        <v>Testing JSON Web Tokens</v>
      </c>
      <c r="D74" s="7" t="s">
        <v>183</v>
      </c>
      <c r="E74" s="8" t="s">
        <v>4</v>
      </c>
      <c r="F74" s="8"/>
      <c r="G74" s="8"/>
      <c r="H74" s="8"/>
      <c r="I74" s="8"/>
      <c r="J74" s="8" t="s">
        <v>184</v>
      </c>
    </row>
    <row r="75" spans="1:10" ht="49.5" customHeight="1" x14ac:dyDescent="0.25">
      <c r="A75" s="5"/>
      <c r="B75" s="6" t="s">
        <v>185</v>
      </c>
      <c r="C75" s="15" t="str">
        <f>HYPERLINK("https://owasp.org/www-project-web-security-testing-guide/latest/4-Web_Application_Security_Testing/06-Session_Management_Testing/11-Testing_for_Concurrent_Sessions", "Testing for Concurrent Sessions")</f>
        <v>Testing for Concurrent Sessions</v>
      </c>
      <c r="D75" s="7" t="s">
        <v>186</v>
      </c>
      <c r="E75" s="8" t="s">
        <v>6</v>
      </c>
      <c r="F75" s="8"/>
      <c r="G75" s="8"/>
      <c r="H75" s="8"/>
      <c r="I75" s="8"/>
      <c r="J75" s="8" t="s">
        <v>187</v>
      </c>
    </row>
    <row r="76" spans="1:10" ht="15" customHeight="1" x14ac:dyDescent="0.25">
      <c r="A76" s="2"/>
      <c r="B76" s="3"/>
      <c r="C76" s="2"/>
      <c r="D76" s="2"/>
      <c r="E76" s="2"/>
      <c r="F76" s="2"/>
      <c r="G76" s="2"/>
      <c r="H76" s="2"/>
      <c r="I76" s="2"/>
      <c r="J76" s="2"/>
    </row>
    <row r="77" spans="1:10" ht="47.25" customHeight="1" x14ac:dyDescent="0.25">
      <c r="A77" s="4"/>
      <c r="B77" s="10" t="s">
        <v>188</v>
      </c>
      <c r="C77" s="11" t="s">
        <v>10</v>
      </c>
      <c r="D77" s="11" t="s">
        <v>11</v>
      </c>
      <c r="E77" s="11" t="s">
        <v>12</v>
      </c>
      <c r="F77" s="11"/>
      <c r="G77" s="11"/>
      <c r="H77" s="11"/>
      <c r="I77" s="11"/>
      <c r="J77" s="11" t="s">
        <v>17</v>
      </c>
    </row>
    <row r="78" spans="1:10" ht="90.3" customHeight="1" x14ac:dyDescent="0.25">
      <c r="A78" s="5"/>
      <c r="B78" s="6" t="s">
        <v>189</v>
      </c>
      <c r="C78" s="15" t="str">
        <f>HYPERLINK("https://owasp.org/www-project-web-security-testing-guide/latest/4-Web_Application_Security_Testing/07-Input_Validation_Testing/01-Testing_for_Reflected_Cross_Site_Scripting", "Testing for Reflected Cross Site Scripting")</f>
        <v>Testing for Reflected Cross Site Scripting</v>
      </c>
      <c r="D78" s="7" t="s">
        <v>190</v>
      </c>
      <c r="E78" s="8" t="s">
        <v>4</v>
      </c>
      <c r="F78" s="8"/>
      <c r="G78" s="8"/>
      <c r="H78" s="8"/>
      <c r="I78" s="8"/>
      <c r="J78" s="8" t="s">
        <v>191</v>
      </c>
    </row>
    <row r="79" spans="1:10" ht="90.3" customHeight="1" x14ac:dyDescent="0.25">
      <c r="A79" s="5"/>
      <c r="B79" s="6" t="s">
        <v>192</v>
      </c>
      <c r="C79" s="15" t="str">
        <f>HYPERLINK("https://owasp.org/www-project-web-security-testing-guide/latest/4-Web_Application_Security_Testing/07-Input_Validation_Testing/02-Testing_for_Stored_Cross_Site_Scripting", "Testing for Stored Cross Site Scripting")</f>
        <v>Testing for Stored Cross Site Scripting</v>
      </c>
      <c r="D79" s="7" t="s">
        <v>193</v>
      </c>
      <c r="E79" s="8" t="s">
        <v>4</v>
      </c>
      <c r="F79" s="8"/>
      <c r="G79" s="8"/>
      <c r="H79" s="8"/>
      <c r="I79" s="8"/>
      <c r="J79" s="8" t="s">
        <v>194</v>
      </c>
    </row>
    <row r="80" spans="1:10" ht="16.5" customHeight="1" x14ac:dyDescent="0.25">
      <c r="A80" s="5"/>
      <c r="B80" s="6" t="s">
        <v>195</v>
      </c>
      <c r="C80" s="15" t="str">
        <f>HYPERLINK("https://owasp.org/www-project-web-security-testing-guide/latest/4-Web_Application_Security_Testing/07-Input_Validation_Testing/03-Testing_for_HTTP_Verb_Tampering", "Testing for HTTP Verb Tampering")</f>
        <v>Testing for HTTP Verb Tampering</v>
      </c>
      <c r="D80" s="7" t="s">
        <v>6</v>
      </c>
      <c r="E80" s="8" t="s">
        <v>6</v>
      </c>
      <c r="F80" s="8"/>
      <c r="G80" s="8"/>
      <c r="H80" s="8"/>
      <c r="I80" s="8"/>
      <c r="J80" s="8" t="s">
        <v>196</v>
      </c>
    </row>
    <row r="81" spans="1:10" ht="49.5" customHeight="1" thickBot="1" x14ac:dyDescent="0.3">
      <c r="A81" s="5"/>
      <c r="B81" s="6" t="s">
        <v>197</v>
      </c>
      <c r="C81" s="15" t="str">
        <f>HYPERLINK("https://owasp.org/www-project-web-security-testing-guide/latest/4-Web_Application_Security_Testing/07-Input_Validation_Testing/04-Testing_for_HTTP_Parameter_Pollution", "Testing for HTTP Parameter Pollution")</f>
        <v>Testing for HTTP Parameter Pollution</v>
      </c>
      <c r="D81" s="7" t="s">
        <v>198</v>
      </c>
      <c r="E81" s="8" t="s">
        <v>6</v>
      </c>
      <c r="F81" s="8"/>
      <c r="G81" s="8"/>
      <c r="H81" s="8"/>
      <c r="I81" s="8"/>
      <c r="J81" s="8" t="s">
        <v>199</v>
      </c>
    </row>
    <row r="82" spans="1:10" ht="104.55" customHeight="1" thickTop="1" thickBot="1" x14ac:dyDescent="0.3">
      <c r="A82" s="5"/>
      <c r="B82" s="6" t="s">
        <v>200</v>
      </c>
      <c r="C82" s="15" t="str">
        <f>HYPERLINK("https://owasp.org/www-project-web-security-testing-guide/latest/4-Web_Application_Security_Testing/07-Input_Validation_Testing/05-Testing_for_SQL_Injection", "Testing for SQL Injection")</f>
        <v>Testing for SQL Injection</v>
      </c>
      <c r="D82" s="7" t="s">
        <v>201</v>
      </c>
      <c r="E82" s="8" t="s">
        <v>4</v>
      </c>
      <c r="F82" s="8"/>
      <c r="G82" s="8"/>
      <c r="H82" s="8"/>
      <c r="I82" s="8"/>
      <c r="J82" s="8" t="s">
        <v>202</v>
      </c>
    </row>
    <row r="83" spans="1:10" ht="33" customHeight="1" thickTop="1" x14ac:dyDescent="0.25">
      <c r="A83" s="5"/>
      <c r="B83" s="6" t="s">
        <v>203</v>
      </c>
      <c r="C83" s="15" t="str">
        <f>HYPERLINK("https://owasp.org/www-project-web-security-testing-guide/latest/4-Web_Application_Security_Testing/07-Input_Validation_Testing/06-Testing_for_LDAP_Injection", "Testing for LDAP Injection")</f>
        <v>Testing for LDAP Injection</v>
      </c>
      <c r="D83" s="7" t="s">
        <v>204</v>
      </c>
      <c r="E83" s="8" t="s">
        <v>6</v>
      </c>
      <c r="F83" s="8"/>
      <c r="G83" s="8"/>
      <c r="H83" s="8"/>
      <c r="I83" s="8"/>
      <c r="J83" s="8" t="s">
        <v>205</v>
      </c>
    </row>
    <row r="84" spans="1:10" ht="49.5" customHeight="1" x14ac:dyDescent="0.25">
      <c r="A84" s="5"/>
      <c r="B84" s="6" t="s">
        <v>206</v>
      </c>
      <c r="C84" s="15" t="str">
        <f>HYPERLINK("https://owasp.org/www-project-web-security-testing-guide/latest/4-Web_Application_Security_Testing/07-Input_Validation_Testing/07-Testing_for_XML_Injection", "Testing for XML Injection")</f>
        <v>Testing for XML Injection</v>
      </c>
      <c r="D84" s="7" t="s">
        <v>207</v>
      </c>
      <c r="E84" s="8" t="s">
        <v>6</v>
      </c>
      <c r="F84" s="8"/>
      <c r="G84" s="8"/>
      <c r="H84" s="8"/>
      <c r="I84" s="8"/>
      <c r="J84" s="8" t="s">
        <v>208</v>
      </c>
    </row>
    <row r="85" spans="1:10" ht="33" customHeight="1" x14ac:dyDescent="0.25">
      <c r="A85" s="5"/>
      <c r="B85" s="6" t="s">
        <v>209</v>
      </c>
      <c r="C85" s="15" t="str">
        <f>HYPERLINK("https://owasp.org/www-project-web-security-testing-guide/latest/4-Web_Application_Security_Testing/07-Input_Validation_Testing/08-Testing_for_SSI_Injection", "Testing for SSI Injection")</f>
        <v>Testing for SSI Injection</v>
      </c>
      <c r="D85" s="7" t="s">
        <v>210</v>
      </c>
      <c r="E85" s="8" t="s">
        <v>6</v>
      </c>
      <c r="F85" s="8"/>
      <c r="G85" s="8"/>
      <c r="H85" s="8"/>
      <c r="I85" s="8"/>
      <c r="J85" s="8" t="s">
        <v>211</v>
      </c>
    </row>
    <row r="86" spans="1:10" ht="16.5" customHeight="1" x14ac:dyDescent="0.25">
      <c r="A86" s="5"/>
      <c r="B86" s="6" t="s">
        <v>212</v>
      </c>
      <c r="C86" s="15" t="str">
        <f>HYPERLINK("https://owasp.org/www-project-web-security-testing-guide/latest/4-Web_Application_Security_Testing/07-Input_Validation_Testing/09-Testing_for_XPath_Injection", "Testing for XPath Injection")</f>
        <v>Testing for XPath Injection</v>
      </c>
      <c r="D86" s="7" t="s">
        <v>213</v>
      </c>
      <c r="E86" s="8" t="s">
        <v>6</v>
      </c>
      <c r="F86" s="8"/>
      <c r="G86" s="8"/>
      <c r="H86" s="8"/>
      <c r="I86" s="8"/>
      <c r="J86" s="8" t="s">
        <v>214</v>
      </c>
    </row>
    <row r="87" spans="1:10" ht="66" customHeight="1" x14ac:dyDescent="0.25">
      <c r="A87" s="5"/>
      <c r="B87" s="6" t="s">
        <v>215</v>
      </c>
      <c r="C87" s="15" t="str">
        <f>HYPERLINK("https://owasp.org/www-project-web-security-testing-guide/latest/4-Web_Application_Security_Testing/07-Input_Validation_Testing/10-Testing_for_IMAP_SMTP_Injection", "Testing for IMAP SMTP Injection")</f>
        <v>Testing for IMAP SMTP Injection</v>
      </c>
      <c r="D87" s="7" t="s">
        <v>216</v>
      </c>
      <c r="E87" s="8" t="s">
        <v>6</v>
      </c>
      <c r="F87" s="8"/>
      <c r="G87" s="8"/>
      <c r="H87" s="8"/>
      <c r="I87" s="8"/>
      <c r="J87" s="8" t="s">
        <v>217</v>
      </c>
    </row>
    <row r="88" spans="1:10" ht="104.55" customHeight="1" x14ac:dyDescent="0.25">
      <c r="A88" s="5"/>
      <c r="B88" s="6" t="s">
        <v>218</v>
      </c>
      <c r="C88" s="15" t="str">
        <f>HYPERLINK("https://owasp.org/www-project-web-security-testing-guide/latest/4-Web_Application_Security_Testing/07-Input_Validation_Testing/11-Testing_for_Code_Injection", "Testing for Code Injection")</f>
        <v>Testing for Code Injection</v>
      </c>
      <c r="D88" s="7" t="s">
        <v>219</v>
      </c>
      <c r="E88" s="8" t="s">
        <v>4</v>
      </c>
      <c r="F88" s="8"/>
      <c r="G88" s="8"/>
      <c r="H88" s="8"/>
      <c r="I88" s="8"/>
      <c r="J88" s="8" t="s">
        <v>220</v>
      </c>
    </row>
    <row r="89" spans="1:10" ht="76.05" customHeight="1" x14ac:dyDescent="0.25">
      <c r="A89" s="5"/>
      <c r="B89" s="6" t="s">
        <v>221</v>
      </c>
      <c r="C89" s="15" t="str">
        <f>HYPERLINK("https://owasp.org/www-project-web-security-testing-guide/latest/4-Web_Application_Security_Testing/07-Input_Validation_Testing/12-Testing_for_Command_Injection", "Testing for Command Injection")</f>
        <v>Testing for Command Injection</v>
      </c>
      <c r="D89" s="7" t="s">
        <v>222</v>
      </c>
      <c r="E89" s="8" t="s">
        <v>4</v>
      </c>
      <c r="F89" s="8"/>
      <c r="G89" s="8"/>
      <c r="H89" s="8"/>
      <c r="I89" s="8"/>
      <c r="J89" s="8" t="s">
        <v>223</v>
      </c>
    </row>
    <row r="90" spans="1:10" ht="16.5" customHeight="1" x14ac:dyDescent="0.25">
      <c r="A90" s="5"/>
      <c r="B90" s="6" t="s">
        <v>224</v>
      </c>
      <c r="C90" s="15" t="str">
        <f>HYPERLINK("https://owasp.org/www-project-web-security-testing-guide/latest/4-Web_Application_Security_Testing/07-Input_Validation_Testing/13-Testing_for_Buffer_Overflow", "Testing for Buffer Overflow")</f>
        <v>Testing for Buffer Overflow</v>
      </c>
      <c r="D90" s="7" t="s">
        <v>6</v>
      </c>
      <c r="E90" s="8" t="s">
        <v>6</v>
      </c>
      <c r="F90" s="8"/>
      <c r="G90" s="8"/>
      <c r="H90" s="8"/>
      <c r="I90" s="8"/>
      <c r="J90" s="8" t="s">
        <v>225</v>
      </c>
    </row>
    <row r="91" spans="1:10" ht="70.5" customHeight="1" x14ac:dyDescent="0.25">
      <c r="A91" s="5"/>
      <c r="B91" s="6" t="s">
        <v>224</v>
      </c>
      <c r="C91" s="15" t="str">
        <f>HYPERLINK("https://owasp.org/www-project-web-security-testing-guide/latest/4-Web_Application_Security_Testing/07-Input_Validation_Testing/13-Testing_for_Format_String_Injection", "Testing for Format String Injection")</f>
        <v>Testing for Format String Injection</v>
      </c>
      <c r="D91" s="7" t="s">
        <v>226</v>
      </c>
      <c r="E91" s="8" t="s">
        <v>6</v>
      </c>
      <c r="F91" s="8"/>
      <c r="G91" s="8"/>
      <c r="H91" s="8"/>
      <c r="I91" s="8"/>
      <c r="J91" s="8" t="s">
        <v>227</v>
      </c>
    </row>
    <row r="92" spans="1:10" ht="66" customHeight="1" x14ac:dyDescent="0.25">
      <c r="A92" s="5"/>
      <c r="B92" s="6" t="s">
        <v>228</v>
      </c>
      <c r="C92" s="15" t="str">
        <f>HYPERLINK("https://owasp.org/www-project-web-security-testing-guide/latest/4-Web_Application_Security_Testing/07-Input_Validation_Testing/14-Testing_for_Incubated_Vulnerability", "Testing for Incubated Vulnerability")</f>
        <v>Testing for Incubated Vulnerability</v>
      </c>
      <c r="D92" s="7" t="s">
        <v>229</v>
      </c>
      <c r="E92" s="8" t="s">
        <v>6</v>
      </c>
      <c r="F92" s="8"/>
      <c r="G92" s="8"/>
      <c r="H92" s="8"/>
      <c r="I92" s="8"/>
      <c r="J92" s="8" t="s">
        <v>230</v>
      </c>
    </row>
    <row r="93" spans="1:10" ht="66" customHeight="1" x14ac:dyDescent="0.25">
      <c r="A93" s="5"/>
      <c r="B93" s="6" t="s">
        <v>231</v>
      </c>
      <c r="C93" s="15" t="str">
        <f>HYPERLINK("https://owasp.org/www-project-web-security-testing-guide/latest/4-Web_Application_Security_Testing/07-Input_Validation_Testing/15-Testing_for_HTTP_Splitting_Smuggling", "Testing for HTTP Splitting Smuggling")</f>
        <v>Testing for HTTP Splitting Smuggling</v>
      </c>
      <c r="D93" s="7" t="s">
        <v>232</v>
      </c>
      <c r="E93" s="8" t="s">
        <v>6</v>
      </c>
      <c r="F93" s="8"/>
      <c r="G93" s="8"/>
      <c r="H93" s="8"/>
      <c r="I93" s="8"/>
      <c r="J93" s="8" t="s">
        <v>233</v>
      </c>
    </row>
    <row r="94" spans="1:10" ht="66" customHeight="1" x14ac:dyDescent="0.25">
      <c r="A94" s="5"/>
      <c r="B94" s="6" t="s">
        <v>234</v>
      </c>
      <c r="C94" s="15" t="str">
        <f>HYPERLINK("https://owasp.org/www-project-web-security-testing-guide/latest/4-Web_Application_Security_Testing/07-Input_Validation_Testing/16-Testing_for_HTTP_Incoming_Requests", "Testing for HTTP Incoming Requests")</f>
        <v>Testing for HTTP Incoming Requests</v>
      </c>
      <c r="D94" s="7" t="s">
        <v>235</v>
      </c>
      <c r="E94" s="8" t="s">
        <v>6</v>
      </c>
      <c r="F94" s="8"/>
      <c r="G94" s="8"/>
      <c r="H94" s="8"/>
      <c r="I94" s="8"/>
      <c r="J94" s="8" t="s">
        <v>236</v>
      </c>
    </row>
    <row r="95" spans="1:10" ht="49.5" customHeight="1" x14ac:dyDescent="0.25">
      <c r="A95" s="5"/>
      <c r="B95" s="6" t="s">
        <v>237</v>
      </c>
      <c r="C95" s="15" t="str">
        <f>HYPERLINK("https://owasp.org/www-project-web-security-testing-guide/latest/4-Web_Application_Security_Testing/07-Input_Validation_Testing/17-Testing_for_Host_Header_Injection", "Testing for Host Header Injection")</f>
        <v>Testing for Host Header Injection</v>
      </c>
      <c r="D95" s="7" t="s">
        <v>238</v>
      </c>
      <c r="E95" s="8" t="s">
        <v>6</v>
      </c>
      <c r="F95" s="8"/>
      <c r="G95" s="8"/>
      <c r="H95" s="8"/>
      <c r="I95" s="8"/>
      <c r="J95" s="8" t="s">
        <v>239</v>
      </c>
    </row>
    <row r="96" spans="1:10" ht="76.05" customHeight="1" x14ac:dyDescent="0.25">
      <c r="A96" s="5"/>
      <c r="B96" s="6" t="s">
        <v>240</v>
      </c>
      <c r="C96" s="15" t="str">
        <f>HYPERLINK("https://owasp.org/www-project-web-security-testing-guide/latest/4-Web_Application_Security_Testing/07-Input_Validation_Testing/18-Testing_for_Server-side_Template_Injection", "Testing for Server-side Template Injection")</f>
        <v>Testing for Server-side Template Injection</v>
      </c>
      <c r="D96" s="7" t="s">
        <v>241</v>
      </c>
      <c r="E96" s="8" t="s">
        <v>4</v>
      </c>
      <c r="F96" s="8"/>
      <c r="G96" s="8"/>
      <c r="H96" s="8"/>
      <c r="I96" s="8"/>
      <c r="J96" s="8" t="s">
        <v>242</v>
      </c>
    </row>
    <row r="97" spans="1:10" ht="104.55" customHeight="1" x14ac:dyDescent="0.25">
      <c r="A97" s="5"/>
      <c r="B97" s="6" t="s">
        <v>243</v>
      </c>
      <c r="C97" s="15" t="str">
        <f>HYPERLINK("https://owasp.org/www-project-web-security-testing-guide/latest/4-Web_Application_Security_Testing/07-Input_Validation_Testing/19-Testing_for_Server-Side_Request_Forgery", "Testing for Server-Side Request Forgery")</f>
        <v>Testing for Server-Side Request Forgery</v>
      </c>
      <c r="D97" s="7" t="s">
        <v>244</v>
      </c>
      <c r="E97" s="8" t="s">
        <v>4</v>
      </c>
      <c r="F97" s="8"/>
      <c r="G97" s="8"/>
      <c r="H97" s="8"/>
      <c r="I97" s="8"/>
      <c r="J97" s="8" t="s">
        <v>245</v>
      </c>
    </row>
    <row r="98" spans="1:10" ht="90.3" customHeight="1" x14ac:dyDescent="0.25">
      <c r="A98" s="5"/>
      <c r="B98" s="6" t="s">
        <v>246</v>
      </c>
      <c r="C98" s="15" t="str">
        <f>HYPERLINK("https://owasp.org/www-project-web-security-testing-guide/latest/4-Web_Application_Security_Testing/07-Input_Validation_Testing/20-Testing_for_Mass_Assignment", "Testing for Mass Assignment")</f>
        <v>Testing for Mass Assignment</v>
      </c>
      <c r="D98" s="7" t="s">
        <v>247</v>
      </c>
      <c r="E98" s="8" t="s">
        <v>4</v>
      </c>
      <c r="F98" s="8"/>
      <c r="G98" s="8"/>
      <c r="H98" s="8"/>
      <c r="I98" s="8"/>
      <c r="J98" s="8" t="s">
        <v>248</v>
      </c>
    </row>
    <row r="99" spans="1:10" ht="15" customHeight="1" x14ac:dyDescent="0.25">
      <c r="A99" s="2"/>
      <c r="B99" s="3"/>
      <c r="C99" s="2"/>
      <c r="D99" s="2"/>
      <c r="E99" s="2"/>
      <c r="F99" s="2"/>
      <c r="G99" s="2"/>
      <c r="H99" s="2"/>
      <c r="I99" s="2"/>
      <c r="J99" s="2"/>
    </row>
    <row r="100" spans="1:10" ht="47.25" customHeight="1" x14ac:dyDescent="0.25">
      <c r="A100" s="4"/>
      <c r="B100" s="10" t="s">
        <v>249</v>
      </c>
      <c r="C100" s="11" t="s">
        <v>10</v>
      </c>
      <c r="D100" s="11" t="s">
        <v>11</v>
      </c>
      <c r="E100" s="11" t="s">
        <v>12</v>
      </c>
      <c r="F100" s="11"/>
      <c r="G100" s="11"/>
      <c r="H100" s="11"/>
      <c r="I100" s="11"/>
      <c r="J100" s="11" t="s">
        <v>17</v>
      </c>
    </row>
    <row r="101" spans="1:10" ht="104.55" customHeight="1" x14ac:dyDescent="0.25">
      <c r="A101" s="5"/>
      <c r="B101" s="6" t="s">
        <v>250</v>
      </c>
      <c r="C101" s="15" t="str">
        <f>HYPERLINK("https://owasp.org/www-project-web-security-testing-guide/latest/4-Web_Application_Security_Testing/08-Testing_for_Error_Handling/01-Testing_For_Improper_Error_Handling", "Testing for Improper Error Handling")</f>
        <v>Testing for Improper Error Handling</v>
      </c>
      <c r="D101" s="7" t="s">
        <v>251</v>
      </c>
      <c r="E101" s="8" t="s">
        <v>5</v>
      </c>
      <c r="F101" s="8"/>
      <c r="G101" s="8"/>
      <c r="H101" s="8"/>
      <c r="I101" s="8"/>
      <c r="J101" s="8" t="s">
        <v>252</v>
      </c>
    </row>
    <row r="102" spans="1:10" ht="90.3" customHeight="1" x14ac:dyDescent="0.25">
      <c r="A102" s="5"/>
      <c r="B102" s="6" t="s">
        <v>253</v>
      </c>
      <c r="C102" s="15" t="str">
        <f>HYPERLINK("https://owasp.org/www-project-web-security-testing-guide/latest/4-Web_Application_Security_Testing/08-Testing_for_Error_Handling/02-Testing_for_Stack_Traces", "Testing for Stack Traces")</f>
        <v>Testing for Stack Traces</v>
      </c>
      <c r="D102" s="7" t="s">
        <v>6</v>
      </c>
      <c r="E102" s="8" t="s">
        <v>4</v>
      </c>
      <c r="F102" s="8"/>
      <c r="G102" s="8"/>
      <c r="H102" s="8"/>
      <c r="I102" s="8"/>
      <c r="J102" s="8" t="s">
        <v>254</v>
      </c>
    </row>
    <row r="103" spans="1:10" ht="15" customHeight="1" x14ac:dyDescent="0.25">
      <c r="A103" s="2"/>
      <c r="B103" s="3"/>
      <c r="C103" s="2"/>
      <c r="D103" s="2"/>
      <c r="E103" s="2"/>
      <c r="F103" s="2"/>
      <c r="G103" s="2"/>
      <c r="H103" s="2"/>
      <c r="I103" s="2"/>
      <c r="J103" s="2"/>
    </row>
    <row r="104" spans="1:10" ht="47.25" customHeight="1" x14ac:dyDescent="0.25">
      <c r="A104" s="4"/>
      <c r="B104" s="10" t="s">
        <v>255</v>
      </c>
      <c r="C104" s="11" t="s">
        <v>10</v>
      </c>
      <c r="D104" s="11" t="s">
        <v>11</v>
      </c>
      <c r="E104" s="11" t="s">
        <v>12</v>
      </c>
      <c r="F104" s="11"/>
      <c r="G104" s="11"/>
      <c r="H104" s="11"/>
      <c r="I104" s="11"/>
      <c r="J104" s="11" t="s">
        <v>17</v>
      </c>
    </row>
    <row r="105" spans="1:10" ht="147.30000000000001" customHeight="1" x14ac:dyDescent="0.25">
      <c r="A105" s="5"/>
      <c r="B105" s="6" t="s">
        <v>256</v>
      </c>
      <c r="C105" s="15" t="str">
        <f>HYPERLINK("https://owasp.org/www-project-web-security-testing-guide/latest/4-Web_Application_Security_Testing/09-Testing_for_Weak_Cryptography/01-Testing_for_Weak_Transport_Layer_Security", "Testing for Weak Transport Layer Security")</f>
        <v>Testing for Weak Transport Layer Security</v>
      </c>
      <c r="D105" s="7" t="s">
        <v>257</v>
      </c>
      <c r="E105" s="8" t="s">
        <v>4</v>
      </c>
      <c r="F105" s="8"/>
      <c r="G105" s="8"/>
      <c r="H105" s="8"/>
      <c r="I105" s="8"/>
      <c r="J105" s="8" t="s">
        <v>258</v>
      </c>
    </row>
    <row r="106" spans="1:10" ht="49.5" customHeight="1" x14ac:dyDescent="0.25">
      <c r="A106" s="5"/>
      <c r="B106" s="6" t="s">
        <v>259</v>
      </c>
      <c r="C106" s="15" t="str">
        <f>HYPERLINK("https://owasp.org/www-project-web-security-testing-guide/latest/4-Web_Application_Security_Testing/09-Testing_for_Weak_Cryptography/02-Testing_for_Padding_Oracle", "Testing for Padding Oracle")</f>
        <v>Testing for Padding Oracle</v>
      </c>
      <c r="D106" s="7" t="s">
        <v>260</v>
      </c>
      <c r="E106" s="8" t="s">
        <v>6</v>
      </c>
      <c r="F106" s="8"/>
      <c r="G106" s="8"/>
      <c r="H106" s="8"/>
      <c r="I106" s="8"/>
      <c r="J106" s="8" t="s">
        <v>261</v>
      </c>
    </row>
    <row r="107" spans="1:10" ht="147.30000000000001" customHeight="1" x14ac:dyDescent="0.25">
      <c r="A107" s="5"/>
      <c r="B107" s="6" t="s">
        <v>262</v>
      </c>
      <c r="C107" s="15" t="str">
        <f>HYPERLINK("https://owasp.org/www-project-web-security-testing-guide/latest/4-Web_Application_Security_Testing/09-Testing_for_Weak_Cryptography/03-Testing_for_Sensitive_Information_Sent_via_Unencrypted_Channels", "Testing for Sensitive Information Sent via Unencrypted Channels")</f>
        <v>Testing for Sensitive Information Sent via Unencrypted Channels</v>
      </c>
      <c r="D107" s="7" t="s">
        <v>263</v>
      </c>
      <c r="E107" s="8" t="s">
        <v>4</v>
      </c>
      <c r="F107" s="8"/>
      <c r="G107" s="8"/>
      <c r="H107" s="8"/>
      <c r="I107" s="8"/>
      <c r="J107" s="8" t="s">
        <v>264</v>
      </c>
    </row>
    <row r="108" spans="1:10" ht="118.8" customHeight="1" x14ac:dyDescent="0.25">
      <c r="A108" s="5"/>
      <c r="B108" s="6" t="s">
        <v>265</v>
      </c>
      <c r="C108" s="15" t="str">
        <f>HYPERLINK("https://owasp.org/www-project-web-security-testing-guide/latest/4-Web_Application_Security_Testing/09-Testing_for_Weak_Cryptography/04-Testing_for_Weak_Encryption", "Testing for Weak Encryption")</f>
        <v>Testing for Weak Encryption</v>
      </c>
      <c r="D108" s="7" t="s">
        <v>266</v>
      </c>
      <c r="E108" s="8" t="s">
        <v>4</v>
      </c>
      <c r="F108" s="8"/>
      <c r="G108" s="8"/>
      <c r="H108" s="8"/>
      <c r="I108" s="8"/>
      <c r="J108" s="8" t="s">
        <v>267</v>
      </c>
    </row>
    <row r="109" spans="1:10" ht="15" customHeight="1" x14ac:dyDescent="0.25">
      <c r="A109" s="2"/>
      <c r="B109" s="3"/>
      <c r="C109" s="2"/>
      <c r="D109" s="2"/>
      <c r="E109" s="2"/>
      <c r="F109" s="2"/>
      <c r="G109" s="2"/>
      <c r="H109" s="2"/>
      <c r="I109" s="2"/>
      <c r="J109" s="2"/>
    </row>
    <row r="110" spans="1:10" ht="47.25" customHeight="1" thickBot="1" x14ac:dyDescent="0.3">
      <c r="A110" s="4"/>
      <c r="B110" s="10" t="s">
        <v>268</v>
      </c>
      <c r="C110" s="11" t="s">
        <v>10</v>
      </c>
      <c r="D110" s="11" t="s">
        <v>11</v>
      </c>
      <c r="E110" s="11" t="s">
        <v>12</v>
      </c>
      <c r="F110" s="11"/>
      <c r="G110" s="11"/>
      <c r="H110" s="11"/>
      <c r="I110" s="11"/>
      <c r="J110" s="11" t="s">
        <v>17</v>
      </c>
    </row>
    <row r="111" spans="1:10" ht="104.55" customHeight="1" thickTop="1" thickBot="1" x14ac:dyDescent="0.3">
      <c r="A111" s="5"/>
      <c r="B111" s="6" t="s">
        <v>269</v>
      </c>
      <c r="C111" s="15" t="str">
        <f>HYPERLINK("https://owasp.org/www-project-web-security-testing-guide/latest/4-Web_Application_Security_Testing/10-Business_Logic_Testing/01-Test_Business_Logic_Data_Validation", "Test Business Logic Data Validation")</f>
        <v>Test Business Logic Data Validation</v>
      </c>
      <c r="D111" s="7" t="s">
        <v>270</v>
      </c>
      <c r="E111" s="8" t="s">
        <v>5</v>
      </c>
      <c r="F111" s="8"/>
      <c r="G111" s="8"/>
      <c r="H111" s="8"/>
      <c r="I111" s="8"/>
      <c r="J111" s="8" t="s">
        <v>271</v>
      </c>
    </row>
    <row r="112" spans="1:10" ht="104.55" customHeight="1" thickTop="1" thickBot="1" x14ac:dyDescent="0.3">
      <c r="A112" s="5"/>
      <c r="B112" s="6" t="s">
        <v>272</v>
      </c>
      <c r="C112" s="15" t="str">
        <f>HYPERLINK("https://owasp.org/www-project-web-security-testing-guide/latest/4-Web_Application_Security_Testing/10-Business_Logic_Testing/02-Test_Ability_to_Forge_Requests", "Test Ability to Forge Requests")</f>
        <v>Test Ability to Forge Requests</v>
      </c>
      <c r="D112" s="7" t="s">
        <v>273</v>
      </c>
      <c r="E112" s="8" t="s">
        <v>5</v>
      </c>
      <c r="F112" s="8"/>
      <c r="G112" s="8"/>
      <c r="H112" s="8"/>
      <c r="I112" s="8"/>
      <c r="J112" s="8" t="s">
        <v>274</v>
      </c>
    </row>
    <row r="113" spans="1:10" ht="104.55" customHeight="1" thickTop="1" thickBot="1" x14ac:dyDescent="0.3">
      <c r="A113" s="5"/>
      <c r="B113" s="6" t="s">
        <v>275</v>
      </c>
      <c r="C113" s="15" t="str">
        <f>HYPERLINK("https://owasp.org/www-project-web-security-testing-guide/latest/4-Web_Application_Security_Testing/10-Business_Logic_Testing/03-Test_Integrity_Checks", "Test Integrity Checks")</f>
        <v>Test Integrity Checks</v>
      </c>
      <c r="D113" s="7" t="s">
        <v>276</v>
      </c>
      <c r="E113" s="8" t="s">
        <v>5</v>
      </c>
      <c r="F113" s="8"/>
      <c r="G113" s="8"/>
      <c r="H113" s="8"/>
      <c r="I113" s="8"/>
      <c r="J113" s="8" t="s">
        <v>277</v>
      </c>
    </row>
    <row r="114" spans="1:10" ht="49.5" customHeight="1" thickTop="1" x14ac:dyDescent="0.25">
      <c r="A114" s="5"/>
      <c r="B114" s="6" t="s">
        <v>278</v>
      </c>
      <c r="C114" s="15" t="str">
        <f>HYPERLINK("https://owasp.org/www-project-web-security-testing-guide/latest/4-Web_Application_Security_Testing/10-Business_Logic_Testing/04-Test_for_Process_Timing", "Test for Process Timing")</f>
        <v>Test for Process Timing</v>
      </c>
      <c r="D114" s="7" t="s">
        <v>279</v>
      </c>
      <c r="E114" s="8" t="s">
        <v>6</v>
      </c>
      <c r="F114" s="8"/>
      <c r="G114" s="8"/>
      <c r="H114" s="8"/>
      <c r="I114" s="8"/>
      <c r="J114" s="8" t="s">
        <v>280</v>
      </c>
    </row>
    <row r="115" spans="1:10" ht="90.3" customHeight="1" x14ac:dyDescent="0.25">
      <c r="A115" s="5"/>
      <c r="B115" s="6" t="s">
        <v>281</v>
      </c>
      <c r="C115" s="15" t="str">
        <f>HYPERLINK("https://owasp.org/www-project-web-security-testing-guide/latest/4-Web_Application_Security_Testing/10-Business_Logic_Testing/05-Test_Number_of_Times_a_Function_Can_Be_Used_Limits", "Test Number of Times a Function Can Be Used Limits")</f>
        <v>Test Number of Times a Function Can Be Used Limits</v>
      </c>
      <c r="D115" s="7" t="s">
        <v>282</v>
      </c>
      <c r="E115" s="8" t="s">
        <v>4</v>
      </c>
      <c r="F115" s="8"/>
      <c r="G115" s="8"/>
      <c r="H115" s="8"/>
      <c r="I115" s="8"/>
      <c r="J115" s="8" t="s">
        <v>283</v>
      </c>
    </row>
    <row r="116" spans="1:10" ht="90.3" customHeight="1" x14ac:dyDescent="0.25">
      <c r="A116" s="5"/>
      <c r="B116" s="6" t="s">
        <v>284</v>
      </c>
      <c r="C116" s="15" t="str">
        <f>HYPERLINK("https://owasp.org/www-project-web-security-testing-guide/latest/4-Web_Application_Security_Testing/10-Business_Logic_Testing/06-Testing_for_the_Circumvention_of_Work_Flows", "Testing for the Circumvention of Work Flows")</f>
        <v>Testing for the Circumvention of Work Flows</v>
      </c>
      <c r="D116" s="7" t="s">
        <v>285</v>
      </c>
      <c r="E116" s="8" t="s">
        <v>4</v>
      </c>
      <c r="F116" s="8"/>
      <c r="G116" s="8"/>
      <c r="H116" s="8"/>
      <c r="I116" s="8"/>
      <c r="J116" s="8" t="s">
        <v>286</v>
      </c>
    </row>
    <row r="117" spans="1:10" ht="147.30000000000001" customHeight="1" x14ac:dyDescent="0.25">
      <c r="A117" s="5"/>
      <c r="B117" s="6" t="s">
        <v>287</v>
      </c>
      <c r="C117" s="15" t="str">
        <f>HYPERLINK("https://owasp.org/www-project-web-security-testing-guide/latest/4-Web_Application_Security_Testing/10-Business_Logic_Testing/07-Test_Defenses_Against_Application_Misuse", "Test Defenses Against Application Misuse")</f>
        <v>Test Defenses Against Application Misuse</v>
      </c>
      <c r="D117" s="7" t="s">
        <v>288</v>
      </c>
      <c r="E117" s="8" t="s">
        <v>4</v>
      </c>
      <c r="F117" s="8"/>
      <c r="G117" s="8"/>
      <c r="H117" s="8"/>
      <c r="I117" s="8"/>
      <c r="J117" s="8" t="s">
        <v>289</v>
      </c>
    </row>
    <row r="118" spans="1:10" ht="90.3" customHeight="1" x14ac:dyDescent="0.25">
      <c r="A118" s="5"/>
      <c r="B118" s="6" t="s">
        <v>290</v>
      </c>
      <c r="C118" s="15" t="str">
        <f>HYPERLINK("https://owasp.org/www-project-web-security-testing-guide/latest/4-Web_Application_Security_Testing/10-Business_Logic_Testing/08-Test_Upload_of_Unexpected_File_Types", "Test Upload of Unexpected File Types")</f>
        <v>Test Upload of Unexpected File Types</v>
      </c>
      <c r="D118" s="7" t="s">
        <v>291</v>
      </c>
      <c r="E118" s="8" t="s">
        <v>4</v>
      </c>
      <c r="F118" s="8"/>
      <c r="G118" s="8"/>
      <c r="H118" s="8"/>
      <c r="I118" s="8"/>
      <c r="J118" s="8" t="s">
        <v>292</v>
      </c>
    </row>
    <row r="119" spans="1:10" ht="90.3" customHeight="1" thickBot="1" x14ac:dyDescent="0.3">
      <c r="A119" s="5"/>
      <c r="B119" s="6" t="s">
        <v>293</v>
      </c>
      <c r="C119" s="15" t="str">
        <f>HYPERLINK("https://owasp.org/www-project-web-security-testing-guide/latest/4-Web_Application_Security_Testing/10-Business_Logic_Testing/09-Test_Upload_of_Malicious_Files", "Test Upload of Malicious Files")</f>
        <v>Test Upload of Malicious Files</v>
      </c>
      <c r="D119" s="7" t="s">
        <v>294</v>
      </c>
      <c r="E119" s="8" t="s">
        <v>4</v>
      </c>
      <c r="F119" s="8"/>
      <c r="G119" s="8"/>
      <c r="H119" s="8"/>
      <c r="I119" s="8"/>
      <c r="J119" s="8" t="s">
        <v>295</v>
      </c>
    </row>
    <row r="120" spans="1:10" ht="66" customHeight="1" thickBot="1" x14ac:dyDescent="0.3">
      <c r="A120" s="5"/>
      <c r="B120" s="6" t="s">
        <v>296</v>
      </c>
      <c r="C120" s="15" t="str">
        <f>HYPERLINK("https://owasp.org/www-project-web-security-testing-guide/latest/4-Web_Application_Security_Testing/10-Business_Logic_Testing/10-Test-Payment-Functionality", "Test Payment Functionality")</f>
        <v>Test Payment Functionality</v>
      </c>
      <c r="D120" s="7" t="s">
        <v>297</v>
      </c>
      <c r="E120" s="8" t="s">
        <v>6</v>
      </c>
      <c r="F120" s="8"/>
      <c r="G120" s="8"/>
      <c r="H120" s="8"/>
      <c r="I120" s="8"/>
      <c r="J120" s="8" t="s">
        <v>298</v>
      </c>
    </row>
    <row r="121" spans="1:10" ht="15" customHeight="1" x14ac:dyDescent="0.25">
      <c r="A121" s="2"/>
      <c r="B121" s="3"/>
      <c r="C121" s="2"/>
      <c r="D121" s="2"/>
      <c r="E121" s="2"/>
      <c r="F121" s="2"/>
      <c r="G121" s="2"/>
      <c r="H121" s="2"/>
      <c r="I121" s="2"/>
      <c r="J121" s="2"/>
    </row>
    <row r="122" spans="1:10" ht="47.25" customHeight="1" x14ac:dyDescent="0.25">
      <c r="A122" s="4"/>
      <c r="B122" s="10" t="s">
        <v>299</v>
      </c>
      <c r="C122" s="11" t="s">
        <v>10</v>
      </c>
      <c r="D122" s="11" t="s">
        <v>11</v>
      </c>
      <c r="E122" s="11" t="s">
        <v>12</v>
      </c>
      <c r="F122" s="11"/>
      <c r="G122" s="11"/>
      <c r="H122" s="11"/>
      <c r="I122" s="11"/>
      <c r="J122" s="11" t="s">
        <v>17</v>
      </c>
    </row>
    <row r="123" spans="1:10" ht="90.3" customHeight="1" x14ac:dyDescent="0.25">
      <c r="A123" s="5"/>
      <c r="B123" s="6" t="s">
        <v>300</v>
      </c>
      <c r="C123" s="15" t="str">
        <f>HYPERLINK("https://owasp.org/www-project-web-security-testing-guide/latest/4-Web_Application_Security_Testing/11-Client-side_Testing/01-Testing_for_DOM-based_Cross_Site_Scripting", "Testing for DOM-Based Cross Site Scripting")</f>
        <v>Testing for DOM-Based Cross Site Scripting</v>
      </c>
      <c r="D123" s="7" t="s">
        <v>301</v>
      </c>
      <c r="E123" s="8" t="s">
        <v>4</v>
      </c>
      <c r="F123" s="8"/>
      <c r="G123" s="8"/>
      <c r="H123" s="8"/>
      <c r="I123" s="8"/>
      <c r="J123" s="8" t="s">
        <v>302</v>
      </c>
    </row>
    <row r="124" spans="1:10" ht="90.3" customHeight="1" x14ac:dyDescent="0.25">
      <c r="A124" s="5"/>
      <c r="B124" s="6" t="s">
        <v>303</v>
      </c>
      <c r="C124" s="15" t="str">
        <f>HYPERLINK("https://owasp.org/www-project-web-security-testing-guide/latest/4-Web_Application_Security_Testing/11-Client-side_Testing/02-Testing_for_JavaScript_Execution", "Testing for JavaScript Execution")</f>
        <v>Testing for JavaScript Execution</v>
      </c>
      <c r="D124" s="7" t="s">
        <v>304</v>
      </c>
      <c r="E124" s="8" t="s">
        <v>4</v>
      </c>
      <c r="F124" s="8"/>
      <c r="G124" s="8"/>
      <c r="H124" s="8"/>
      <c r="I124" s="8"/>
      <c r="J124" s="8" t="s">
        <v>305</v>
      </c>
    </row>
    <row r="125" spans="1:10" ht="90.3" customHeight="1" x14ac:dyDescent="0.25">
      <c r="A125" s="5"/>
      <c r="B125" s="6" t="s">
        <v>306</v>
      </c>
      <c r="C125" s="15" t="str">
        <f>HYPERLINK("https://owasp.org/www-project-web-security-testing-guide/latest/4-Web_Application_Security_Testing/11-Client-side_Testing/03-Testing_for_HTML_Injection", "Testing for HTML Injection")</f>
        <v>Testing for HTML Injection</v>
      </c>
      <c r="D125" s="7" t="s">
        <v>307</v>
      </c>
      <c r="E125" s="8" t="s">
        <v>4</v>
      </c>
      <c r="F125" s="8"/>
      <c r="G125" s="8"/>
      <c r="H125" s="8"/>
      <c r="I125" s="8"/>
      <c r="J125" s="8" t="s">
        <v>308</v>
      </c>
    </row>
    <row r="126" spans="1:10" ht="33" customHeight="1" x14ac:dyDescent="0.25">
      <c r="A126" s="5"/>
      <c r="B126" s="6" t="s">
        <v>309</v>
      </c>
      <c r="C126" s="15" t="str">
        <f>HYPERLINK("https://owasp.org/www-project-web-security-testing-guide/latest/4-Web_Application_Security_Testing/11-Client-side_Testing/04-Testing_for_Client-side_URL_Redirect", "Testing for Client-side URL Redirect")</f>
        <v>Testing for Client-side URL Redirect</v>
      </c>
      <c r="D126" s="7" t="s">
        <v>310</v>
      </c>
      <c r="E126" s="8" t="s">
        <v>6</v>
      </c>
      <c r="F126" s="8"/>
      <c r="G126" s="8"/>
      <c r="H126" s="8"/>
      <c r="I126" s="8"/>
      <c r="J126" s="8" t="s">
        <v>311</v>
      </c>
    </row>
    <row r="127" spans="1:10" ht="33" customHeight="1" x14ac:dyDescent="0.25">
      <c r="A127" s="5"/>
      <c r="B127" s="6" t="s">
        <v>312</v>
      </c>
      <c r="C127" s="15" t="str">
        <f>HYPERLINK("https://owasp.org/www-project-web-security-testing-guide/latest/4-Web_Application_Security_Testing/11-Client-side_Testing/05-Testing_for_CSS_Injection", "Testing for CSS Injection")</f>
        <v>Testing for CSS Injection</v>
      </c>
      <c r="D127" s="7" t="s">
        <v>313</v>
      </c>
      <c r="E127" s="8" t="s">
        <v>6</v>
      </c>
      <c r="F127" s="8"/>
      <c r="G127" s="8"/>
      <c r="H127" s="8"/>
      <c r="I127" s="8"/>
      <c r="J127" s="8" t="s">
        <v>314</v>
      </c>
    </row>
    <row r="128" spans="1:10" ht="33" customHeight="1" x14ac:dyDescent="0.25">
      <c r="A128" s="5"/>
      <c r="B128" s="6" t="s">
        <v>315</v>
      </c>
      <c r="C128" s="15" t="str">
        <f>HYPERLINK("https://owasp.org/www-project-web-security-testing-guide/latest/4-Web_Application_Security_Testing/11-Client-side_Testing/06-Testing_for_Client-side_Resource_Manipulation", "Testing for Client-side Resource Manipulation")</f>
        <v>Testing for Client-side Resource Manipulation</v>
      </c>
      <c r="D128" s="7" t="s">
        <v>316</v>
      </c>
      <c r="E128" s="8" t="s">
        <v>6</v>
      </c>
      <c r="F128" s="8"/>
      <c r="G128" s="8"/>
      <c r="H128" s="8"/>
      <c r="I128" s="8"/>
      <c r="J128" s="8" t="s">
        <v>317</v>
      </c>
    </row>
    <row r="129" spans="1:11" ht="90.3" customHeight="1" x14ac:dyDescent="0.25">
      <c r="A129" s="5"/>
      <c r="B129" s="6" t="s">
        <v>318</v>
      </c>
      <c r="C129" s="15" t="str">
        <f>HYPERLINK("https://owasp.org/www-project-web-security-testing-guide/latest/4-Web_Application_Security_Testing/11-Client-side_Testing/07-Testing_Cross_Origin_Resource_Sharing", "Testing Cross Origin Resource Sharing")</f>
        <v>Testing Cross Origin Resource Sharing</v>
      </c>
      <c r="D129" s="7" t="s">
        <v>319</v>
      </c>
      <c r="E129" s="8" t="s">
        <v>4</v>
      </c>
      <c r="F129" s="8"/>
      <c r="G129" s="8"/>
      <c r="H129" s="8"/>
      <c r="I129" s="8"/>
      <c r="J129" s="8" t="s">
        <v>320</v>
      </c>
    </row>
    <row r="130" spans="1:11" ht="33" customHeight="1" x14ac:dyDescent="0.25">
      <c r="A130" s="5"/>
      <c r="B130" s="6" t="s">
        <v>321</v>
      </c>
      <c r="C130" s="15" t="str">
        <f>HYPERLINK("https://owasp.org/www-project-web-security-testing-guide/latest/4-Web_Application_Security_Testing/11-Client-side_Testing/08-Testing_for_Cross_Site_Flashing", "Testing for Cross Site Flashing")</f>
        <v>Testing for Cross Site Flashing</v>
      </c>
      <c r="D130" s="7" t="s">
        <v>322</v>
      </c>
      <c r="E130" s="8" t="s">
        <v>6</v>
      </c>
      <c r="F130" s="8"/>
      <c r="G130" s="8"/>
      <c r="H130" s="8"/>
      <c r="I130" s="8"/>
      <c r="J130" s="8" t="s">
        <v>323</v>
      </c>
    </row>
    <row r="131" spans="1:11" ht="90.3" customHeight="1" x14ac:dyDescent="0.25">
      <c r="A131" s="5"/>
      <c r="B131" s="6" t="s">
        <v>324</v>
      </c>
      <c r="C131" s="15" t="str">
        <f>HYPERLINK("https://owasp.org/www-project-web-security-testing-guide/latest/4-Web_Application_Security_Testing/11-Client-side_Testing/09-Testing_for_Clickjacking", "Testing for Clickjacking")</f>
        <v>Testing for Clickjacking</v>
      </c>
      <c r="D131" s="7" t="s">
        <v>325</v>
      </c>
      <c r="E131" s="8" t="s">
        <v>4</v>
      </c>
      <c r="F131" s="8"/>
      <c r="G131" s="8"/>
      <c r="H131" s="8"/>
      <c r="I131" s="8"/>
      <c r="J131" s="8" t="s">
        <v>326</v>
      </c>
    </row>
    <row r="132" spans="1:11" ht="49.5" customHeight="1" x14ac:dyDescent="0.25">
      <c r="A132" s="5"/>
      <c r="B132" s="6" t="s">
        <v>327</v>
      </c>
      <c r="C132" s="15" t="str">
        <f>HYPERLINK("https://owasp.org/www-project-web-security-testing-guide/latest/4-Web_Application_Security_Testing/11-Client-side_Testing/10-Testing_WebSockets", "Testing WebSockets")</f>
        <v>Testing WebSockets</v>
      </c>
      <c r="D132" s="7" t="s">
        <v>328</v>
      </c>
      <c r="E132" s="8" t="s">
        <v>6</v>
      </c>
      <c r="F132" s="8"/>
      <c r="G132" s="8"/>
      <c r="H132" s="8"/>
      <c r="I132" s="8"/>
      <c r="J132" s="8" t="s">
        <v>329</v>
      </c>
    </row>
    <row r="133" spans="1:11" ht="49.5" customHeight="1" x14ac:dyDescent="0.25">
      <c r="A133" s="5"/>
      <c r="B133" s="6" t="s">
        <v>330</v>
      </c>
      <c r="C133" s="15" t="str">
        <f>HYPERLINK("https://owasp.org/www-project-web-security-testing-guide/latest/4-Web_Application_Security_Testing/11-Client-side_Testing/11-Testing_Web_Messaging", "Testing Web Messaging")</f>
        <v>Testing Web Messaging</v>
      </c>
      <c r="D133" s="7" t="s">
        <v>331</v>
      </c>
      <c r="E133" s="8" t="s">
        <v>6</v>
      </c>
      <c r="F133" s="8"/>
      <c r="G133" s="8"/>
      <c r="H133" s="8"/>
      <c r="I133" s="8"/>
      <c r="J133" s="8" t="s">
        <v>332</v>
      </c>
    </row>
    <row r="134" spans="1:11" ht="76.05" customHeight="1" x14ac:dyDescent="0.25">
      <c r="A134" s="5"/>
      <c r="B134" s="6" t="s">
        <v>333</v>
      </c>
      <c r="C134" s="15" t="str">
        <f>HYPERLINK("https://owasp.org/www-project-web-security-testing-guide/latest/4-Web_Application_Security_Testing/11-Client-side_Testing/12-Testing_Browser_Storage", "Testing Browser Storage")</f>
        <v>Testing Browser Storage</v>
      </c>
      <c r="D134" s="7" t="s">
        <v>334</v>
      </c>
      <c r="E134" s="8" t="s">
        <v>5</v>
      </c>
      <c r="F134" s="8"/>
      <c r="G134" s="8"/>
      <c r="H134" s="8"/>
      <c r="I134" s="8"/>
      <c r="J134" s="8" t="s">
        <v>335</v>
      </c>
    </row>
    <row r="135" spans="1:11" ht="49.5" customHeight="1" x14ac:dyDescent="0.25">
      <c r="A135" s="5"/>
      <c r="B135" s="6" t="s">
        <v>336</v>
      </c>
      <c r="C135" s="15" t="str">
        <f>HYPERLINK("https://owasp.org/www-project-web-security-testing-guide/latest/4-Web_Application_Security_Testing/11-Client-side_Testing/13-Testing_for_Cross_Site_Script_Inclusion", "Testing for Cross Site Script Inclusion")</f>
        <v>Testing for Cross Site Script Inclusion</v>
      </c>
      <c r="D135" s="7" t="s">
        <v>337</v>
      </c>
      <c r="E135" s="8" t="s">
        <v>6</v>
      </c>
      <c r="F135" s="8"/>
      <c r="G135" s="8"/>
      <c r="H135" s="8"/>
      <c r="I135" s="8"/>
      <c r="J135" s="8" t="s">
        <v>338</v>
      </c>
    </row>
    <row r="136" spans="1:11" ht="16.5" customHeight="1" x14ac:dyDescent="0.25">
      <c r="A136" s="5"/>
      <c r="B136" s="6" t="s">
        <v>339</v>
      </c>
      <c r="C136" s="15" t="str">
        <f>HYPERLINK("https://owasp.org/www-project-web-security-testing-guide/latest/4-Web_Application_Security_Testing/11-Client-side_Testing/14-Testing_for_Reverse_Tabnabbing", "Testing for Reverse Tabnabbing")</f>
        <v>Testing for Reverse Tabnabbing</v>
      </c>
      <c r="D136" s="7" t="s">
        <v>6</v>
      </c>
      <c r="E136" s="8" t="s">
        <v>6</v>
      </c>
      <c r="F136" s="8"/>
      <c r="G136" s="8"/>
      <c r="H136" s="8"/>
      <c r="I136" s="8"/>
      <c r="J136" s="8" t="s">
        <v>340</v>
      </c>
    </row>
    <row r="137" spans="1:11" ht="15" customHeight="1" x14ac:dyDescent="0.25">
      <c r="A137" s="2"/>
      <c r="B137" s="3"/>
      <c r="C137" s="2"/>
      <c r="D137" s="2"/>
      <c r="E137" s="2"/>
      <c r="F137" s="2"/>
      <c r="G137" s="2"/>
      <c r="H137" s="2"/>
      <c r="I137" s="2"/>
      <c r="J137" s="2"/>
    </row>
    <row r="138" spans="1:11" ht="47.25" customHeight="1" x14ac:dyDescent="0.25">
      <c r="A138" s="4"/>
      <c r="B138" s="10" t="s">
        <v>341</v>
      </c>
      <c r="C138" s="11" t="s">
        <v>10</v>
      </c>
      <c r="D138" s="11" t="s">
        <v>11</v>
      </c>
      <c r="E138" s="11" t="s">
        <v>12</v>
      </c>
      <c r="F138" s="11"/>
      <c r="G138" s="11"/>
      <c r="H138" s="11"/>
      <c r="I138" s="11"/>
      <c r="J138" s="11" t="s">
        <v>17</v>
      </c>
    </row>
    <row r="139" spans="1:11" ht="190.05" customHeight="1" x14ac:dyDescent="0.25">
      <c r="A139" s="5"/>
      <c r="B139" s="6" t="s">
        <v>342</v>
      </c>
      <c r="C139" s="15" t="str">
        <f>HYPERLINK("https://owasp.org/www-project-web-security-testing-guide/latest/4-Web_Application_Security_Testing/12-API_Testing/01-API_Reconnaissance", "API Reconnaissance")</f>
        <v>API Reconnaissance</v>
      </c>
      <c r="D139" s="7" t="s">
        <v>343</v>
      </c>
      <c r="E139" s="8" t="s">
        <v>4</v>
      </c>
      <c r="F139" s="8"/>
      <c r="G139" s="8"/>
      <c r="H139" s="8"/>
      <c r="I139" s="8"/>
      <c r="J139" s="8" t="s">
        <v>344</v>
      </c>
    </row>
    <row r="140" spans="1:11" ht="118.8" customHeight="1" x14ac:dyDescent="0.25">
      <c r="A140" s="5"/>
      <c r="B140" s="6" t="s">
        <v>345</v>
      </c>
      <c r="C140" s="15" t="str">
        <f>HYPERLINK("https://owasp.org/www-project-web-security-testing-guide/latest/4-Web_Application_Security_Testing/12-API_Testing/02-API_Broken_Object_Level_Authorization", "API Broken Object Level Authorization")</f>
        <v>API Broken Object Level Authorization</v>
      </c>
      <c r="D140" s="7" t="s">
        <v>346</v>
      </c>
      <c r="E140" s="8" t="s">
        <v>5</v>
      </c>
      <c r="F140" s="8"/>
      <c r="G140" s="8"/>
      <c r="H140" s="8"/>
      <c r="I140" s="8"/>
      <c r="J140" s="8" t="s">
        <v>347</v>
      </c>
    </row>
    <row r="141" spans="1:11" ht="92.4" customHeight="1" x14ac:dyDescent="0.25">
      <c r="A141" s="5"/>
      <c r="B141" s="6"/>
      <c r="C141" s="12" t="str">
        <f>HYPERLINK("https://portswigger.net/web-security/race-conditions", "Race Condition")</f>
        <v>Race Condition</v>
      </c>
      <c r="D141" s="13" t="s">
        <v>348</v>
      </c>
      <c r="E141" s="8" t="s">
        <v>6</v>
      </c>
      <c r="F141" s="8"/>
      <c r="G141" s="8"/>
      <c r="H141" s="8"/>
      <c r="I141" s="8"/>
      <c r="J141" s="8" t="s">
        <v>349</v>
      </c>
      <c r="K141" s="8"/>
    </row>
    <row r="142" spans="1:11" ht="15" customHeight="1" x14ac:dyDescent="0.25">
      <c r="A142" s="2"/>
      <c r="B142" s="3"/>
      <c r="C142" s="2"/>
      <c r="D142" s="2"/>
      <c r="E142" s="2"/>
      <c r="F142" s="2"/>
      <c r="G142" s="2"/>
      <c r="H142" s="2"/>
      <c r="I142" s="2"/>
      <c r="J142" s="2"/>
    </row>
  </sheetData>
  <mergeCells count="1">
    <mergeCell ref="B1:C1"/>
  </mergeCells>
  <conditionalFormatting sqref="B8:J8">
    <cfRule type="expression" dxfId="70" priority="52">
      <formula>$E8="Pass"</formula>
    </cfRule>
    <cfRule type="expression" dxfId="69" priority="53">
      <formula>$E8="N/A"</formula>
    </cfRule>
    <cfRule type="expression" dxfId="68" priority="54">
      <formula>$E8="Issues"</formula>
    </cfRule>
  </conditionalFormatting>
  <conditionalFormatting sqref="B8:J9 B10:E19 B20:J21 B22:E35 B36:J37 B38:E42 B43:J44 B45:E55 B56:J57 B58:E62 B63:J64 B65:E75 B76:J77 B78:E98 B99:J100 B101:E102 B103:J104 B105:E108 B109:J110 B111:E120 B121:J122 B123:E136 B137:J138 B139:E140 B142:J142 J10:J19 J22:J35 J38:J42 J45:J55 J58:J62 J65:J75 J78:J98 J101:J102 J105:J108 J111:J120 J123:J136 J139:J140">
    <cfRule type="expression" dxfId="67" priority="55">
      <formula>$E8="Pass"</formula>
    </cfRule>
    <cfRule type="expression" dxfId="66" priority="55">
      <formula>$E8="N/A"</formula>
    </cfRule>
    <cfRule type="expression" dxfId="65" priority="55">
      <formula>$E8="Issues"</formula>
    </cfRule>
  </conditionalFormatting>
  <conditionalFormatting sqref="B141:D141 J141:K141">
    <cfRule type="expression" dxfId="64" priority="46">
      <formula>$E141="Pass"</formula>
    </cfRule>
    <cfRule type="expression" dxfId="63" priority="49">
      <formula>$E141="N/A"</formula>
    </cfRule>
    <cfRule type="expression" dxfId="62" priority="50">
      <formula>$E141="Issues"</formula>
    </cfRule>
  </conditionalFormatting>
  <conditionalFormatting sqref="F10:I19">
    <cfRule type="expression" dxfId="61" priority="40">
      <formula>$E10="N/A"</formula>
    </cfRule>
    <cfRule type="expression" dxfId="60" priority="40">
      <formula>$E10="Pass"</formula>
    </cfRule>
    <cfRule type="expression" dxfId="59" priority="41">
      <formula>$E10="Issues"</formula>
    </cfRule>
  </conditionalFormatting>
  <conditionalFormatting sqref="F22:I35">
    <cfRule type="expression" dxfId="58" priority="37">
      <formula>$E22="N/A"</formula>
    </cfRule>
    <cfRule type="expression" dxfId="57" priority="37">
      <formula>$E22="Pass"</formula>
    </cfRule>
    <cfRule type="expression" dxfId="56" priority="38">
      <formula>$E22="Issues"</formula>
    </cfRule>
  </conditionalFormatting>
  <conditionalFormatting sqref="F38:I42">
    <cfRule type="expression" dxfId="55" priority="34">
      <formula>$E38="N/A"</formula>
    </cfRule>
    <cfRule type="expression" dxfId="54" priority="34">
      <formula>$E38="Pass"</formula>
    </cfRule>
    <cfRule type="expression" dxfId="53" priority="35">
      <formula>$E38="Issues"</formula>
    </cfRule>
  </conditionalFormatting>
  <conditionalFormatting sqref="F45:I55">
    <cfRule type="expression" dxfId="52" priority="31">
      <formula>$E45="N/A"</formula>
    </cfRule>
    <cfRule type="expression" dxfId="51" priority="31">
      <formula>$E45="Pass"</formula>
    </cfRule>
    <cfRule type="expression" dxfId="50" priority="32">
      <formula>$E45="Issues"</formula>
    </cfRule>
  </conditionalFormatting>
  <conditionalFormatting sqref="F58:I62">
    <cfRule type="expression" dxfId="49" priority="28">
      <formula>$E58="N/A"</formula>
    </cfRule>
    <cfRule type="expression" dxfId="48" priority="28">
      <formula>$E58="Pass"</formula>
    </cfRule>
    <cfRule type="expression" dxfId="47" priority="29">
      <formula>$E58="Issues"</formula>
    </cfRule>
  </conditionalFormatting>
  <conditionalFormatting sqref="F65:I75">
    <cfRule type="expression" dxfId="46" priority="25">
      <formula>$E65="N/A"</formula>
    </cfRule>
    <cfRule type="expression" dxfId="45" priority="25">
      <formula>$E65="Pass"</formula>
    </cfRule>
    <cfRule type="expression" dxfId="44" priority="26">
      <formula>$E65="Issues"</formula>
    </cfRule>
  </conditionalFormatting>
  <conditionalFormatting sqref="F78:I81 F83:I98">
    <cfRule type="expression" dxfId="43" priority="22">
      <formula>$E78="N/A"</formula>
    </cfRule>
    <cfRule type="expression" dxfId="42" priority="22">
      <formula>$E78="Pass"</formula>
    </cfRule>
    <cfRule type="expression" dxfId="41" priority="23">
      <formula>$E78="Issues"</formula>
    </cfRule>
  </conditionalFormatting>
  <conditionalFormatting sqref="F101:I102">
    <cfRule type="expression" dxfId="40" priority="19">
      <formula>$E101="N/A"</formula>
    </cfRule>
    <cfRule type="expression" dxfId="39" priority="19">
      <formula>$E101="Pass"</formula>
    </cfRule>
    <cfRule type="expression" dxfId="38" priority="20">
      <formula>$E101="Issues"</formula>
    </cfRule>
  </conditionalFormatting>
  <conditionalFormatting sqref="F105:I108">
    <cfRule type="expression" dxfId="37" priority="16">
      <formula>$E105="N/A"</formula>
    </cfRule>
    <cfRule type="expression" dxfId="36" priority="16">
      <formula>$E105="Pass"</formula>
    </cfRule>
    <cfRule type="expression" dxfId="35" priority="17">
      <formula>$E105="Issues"</formula>
    </cfRule>
  </conditionalFormatting>
  <conditionalFormatting sqref="F111:I120">
    <cfRule type="expression" dxfId="34" priority="13">
      <formula>$E111="N/A"</formula>
    </cfRule>
    <cfRule type="expression" dxfId="33" priority="13">
      <formula>$E111="Pass"</formula>
    </cfRule>
    <cfRule type="expression" dxfId="32" priority="14">
      <formula>$E111="Issues"</formula>
    </cfRule>
  </conditionalFormatting>
  <conditionalFormatting sqref="F123:I136">
    <cfRule type="expression" dxfId="31" priority="10">
      <formula>$E123="N/A"</formula>
    </cfRule>
    <cfRule type="expression" dxfId="30" priority="10">
      <formula>$E123="Pass"</formula>
    </cfRule>
    <cfRule type="expression" dxfId="29" priority="11">
      <formula>$E123="Issues"</formula>
    </cfRule>
  </conditionalFormatting>
  <conditionalFormatting sqref="F139:I141">
    <cfRule type="expression" dxfId="28" priority="7">
      <formula>$E139="N/A"</formula>
    </cfRule>
    <cfRule type="expression" dxfId="27" priority="7">
      <formula>$E139="Pass"</formula>
    </cfRule>
    <cfRule type="expression" dxfId="26" priority="8">
      <formula>$E139="Issues"</formula>
    </cfRule>
  </conditionalFormatting>
  <conditionalFormatting sqref="F82:I82">
    <cfRule type="expression" dxfId="25" priority="4">
      <formula>$E82="N/A"</formula>
    </cfRule>
    <cfRule type="expression" dxfId="24" priority="5">
      <formula>$E82="Issues"</formula>
    </cfRule>
  </conditionalFormatting>
  <conditionalFormatting sqref="E141">
    <cfRule type="expression" dxfId="23" priority="1">
      <formula>$E141="Pass"</formula>
    </cfRule>
  </conditionalFormatting>
  <dataValidations count="1">
    <dataValidation type="list" allowBlank="1" sqref="E8:I8 E10:E19 E22:E35 E38:E42 E45:E55 E58:E62 E65:E75 E78:E98 E101:E102 E105:E108 E111:E120 E123:E136 E139:E141" xr:uid="{00000000-0002-0000-0000-000000000000}">
      <formula1>"Not Started,Pass,Issues,N/A"</formula1>
    </dataValidation>
  </dataValidations>
  <pageMargins left="0.7" right="0.7" top="0.75" bottom="0.75" header="0.3" footer="0.3"/>
  <pageSetup paperSize="9" orientation="portrait"/>
  <headerFooter>
    <oddFooter>&amp;L&amp;"Calibri"&amp;8 &amp;K000000_x000D_# Internal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14"/>
  <sheetViews>
    <sheetView topLeftCell="D1" zoomScale="115" zoomScaleNormal="115" workbookViewId="0">
      <selection activeCell="F2" sqref="F2"/>
    </sheetView>
  </sheetViews>
  <sheetFormatPr defaultColWidth="12.6640625" defaultRowHeight="15.75" customHeight="1" x14ac:dyDescent="0.25"/>
  <cols>
    <col min="1" max="1" width="3.6640625" customWidth="1"/>
    <col min="2" max="2" width="26.44140625" customWidth="1"/>
    <col min="3" max="3" width="44.6640625" customWidth="1"/>
    <col min="4" max="4" width="54.44140625" customWidth="1"/>
    <col min="6" max="6" width="12.6640625" customWidth="1"/>
    <col min="7" max="8" width="82" customWidth="1"/>
    <col min="9" max="9" width="33.109375" customWidth="1"/>
    <col min="10" max="10" width="52" customWidth="1"/>
  </cols>
  <sheetData>
    <row r="1" spans="1:10" ht="47.25" customHeight="1" x14ac:dyDescent="0.25">
      <c r="A1" s="4"/>
      <c r="B1" s="10"/>
      <c r="C1" s="11" t="s">
        <v>10</v>
      </c>
      <c r="D1" s="11" t="s">
        <v>11</v>
      </c>
      <c r="E1" s="11" t="s">
        <v>12</v>
      </c>
      <c r="F1" s="11" t="s">
        <v>13</v>
      </c>
      <c r="G1" s="11" t="s">
        <v>14</v>
      </c>
      <c r="H1" s="11" t="s">
        <v>15</v>
      </c>
      <c r="I1" s="11" t="s">
        <v>17</v>
      </c>
    </row>
    <row r="2" spans="1:10" ht="90.3" customHeight="1" x14ac:dyDescent="0.25">
      <c r="A2" s="5"/>
      <c r="B2" s="6" t="s">
        <v>350</v>
      </c>
      <c r="C2" s="12" t="str">
        <f>HYPERLINK("https://genai.owasp.org/llmrisk/llm01-prompt-injection/", "Prompt Injection")</f>
        <v>Prompt Injection</v>
      </c>
      <c r="D2" s="13" t="s">
        <v>351</v>
      </c>
      <c r="E2" s="8" t="s">
        <v>4</v>
      </c>
      <c r="F2" s="8"/>
      <c r="G2" s="8"/>
      <c r="H2" s="8"/>
      <c r="I2" s="8"/>
      <c r="J2" t="s">
        <v>352</v>
      </c>
    </row>
    <row r="3" spans="1:10" ht="90.3" customHeight="1" x14ac:dyDescent="0.25">
      <c r="A3" s="5"/>
      <c r="B3" s="6" t="s">
        <v>353</v>
      </c>
      <c r="C3" s="12" t="str">
        <f>HYPERLINK("https://genai.owasp.org/llmrisk/llm022025-sensitive-information-disclosure/","Sensitive Information Disclosure")</f>
        <v>Sensitive Information Disclosure</v>
      </c>
      <c r="D3" s="13" t="s">
        <v>354</v>
      </c>
      <c r="E3" s="8" t="s">
        <v>4</v>
      </c>
      <c r="F3" s="8"/>
      <c r="G3" s="8"/>
      <c r="H3" s="8"/>
      <c r="I3" s="8"/>
      <c r="J3" t="s">
        <v>355</v>
      </c>
    </row>
    <row r="4" spans="1:10" ht="39.6" customHeight="1" x14ac:dyDescent="0.25">
      <c r="A4" s="5"/>
      <c r="B4" s="6" t="s">
        <v>356</v>
      </c>
      <c r="C4" s="12" t="str">
        <f>HYPERLINK("https://genai.owasp.org/llmrisk/llm032025-supply-chain/", "Supply Chain")</f>
        <v>Supply Chain</v>
      </c>
      <c r="D4" s="13" t="s">
        <v>357</v>
      </c>
      <c r="E4" s="8" t="s">
        <v>6</v>
      </c>
      <c r="F4" s="8"/>
      <c r="G4" s="8"/>
      <c r="H4" s="8"/>
      <c r="I4" s="8"/>
      <c r="J4" t="s">
        <v>358</v>
      </c>
    </row>
    <row r="5" spans="1:10" ht="52.8" customHeight="1" x14ac:dyDescent="0.25">
      <c r="A5" s="5"/>
      <c r="B5" s="6" t="s">
        <v>359</v>
      </c>
      <c r="C5" s="12" t="str">
        <f>HYPERLINK("https://genai.owasp.org/llmrisk/llm042025-data-and-model-poisoning/", "Data and Model Poisoning")</f>
        <v>Data and Model Poisoning</v>
      </c>
      <c r="D5" s="13" t="s">
        <v>360</v>
      </c>
      <c r="E5" s="8" t="s">
        <v>6</v>
      </c>
      <c r="F5" s="8"/>
      <c r="G5" s="8"/>
      <c r="H5" s="8"/>
      <c r="I5" s="8"/>
      <c r="J5" t="s">
        <v>361</v>
      </c>
    </row>
    <row r="6" spans="1:10" ht="76.05" customHeight="1" x14ac:dyDescent="0.25">
      <c r="A6" s="5"/>
      <c r="B6" s="6" t="s">
        <v>362</v>
      </c>
      <c r="C6" s="12" t="str">
        <f>HYPERLINK("https://genai.owasp.org/llmrisk/llm052025-improper-output-handling/", "Improper Output Handling")</f>
        <v>Improper Output Handling</v>
      </c>
      <c r="D6" s="13" t="s">
        <v>363</v>
      </c>
      <c r="E6" s="8" t="s">
        <v>4</v>
      </c>
      <c r="F6" s="8"/>
      <c r="G6" s="8"/>
      <c r="H6" s="8"/>
      <c r="I6" s="8"/>
      <c r="J6" t="s">
        <v>364</v>
      </c>
    </row>
    <row r="7" spans="1:10" ht="90.3" customHeight="1" x14ac:dyDescent="0.25">
      <c r="A7" s="5"/>
      <c r="B7" s="6" t="s">
        <v>365</v>
      </c>
      <c r="C7" s="12" t="str">
        <f>HYPERLINK("https://genai.owasp.org/llmrisk/llm062025-excessive-agency/","Excessive Agency")</f>
        <v>Excessive Agency</v>
      </c>
      <c r="D7" s="13" t="s">
        <v>366</v>
      </c>
      <c r="E7" s="8" t="s">
        <v>4</v>
      </c>
      <c r="F7" s="8"/>
      <c r="G7" s="8"/>
      <c r="H7" s="8"/>
      <c r="I7" s="8"/>
      <c r="J7" t="s">
        <v>367</v>
      </c>
    </row>
    <row r="8" spans="1:10" ht="90.3" customHeight="1" x14ac:dyDescent="0.25">
      <c r="A8" s="5"/>
      <c r="B8" s="6" t="s">
        <v>368</v>
      </c>
      <c r="C8" s="14" t="str">
        <f>HYPERLINK("https://genai.owasp.org/llmrisk/llm072025-system-prompt-leakage/", "System Prompt Leakage")</f>
        <v>System Prompt Leakage</v>
      </c>
      <c r="D8" s="13" t="s">
        <v>369</v>
      </c>
      <c r="E8" s="8" t="s">
        <v>4</v>
      </c>
      <c r="F8" s="8"/>
      <c r="G8" s="8"/>
      <c r="H8" s="8"/>
      <c r="I8" s="8"/>
      <c r="J8" t="s">
        <v>370</v>
      </c>
    </row>
    <row r="9" spans="1:10" ht="39.6" customHeight="1" x14ac:dyDescent="0.25">
      <c r="A9" s="5"/>
      <c r="B9" s="6" t="s">
        <v>371</v>
      </c>
      <c r="C9" s="14" t="str">
        <f>HYPERLINK("https://genai.owasp.org/llmrisk/llm082025-vector-and-embedding-weaknesses/","Vector and Embedding Weaknesses")</f>
        <v>Vector and Embedding Weaknesses</v>
      </c>
      <c r="D9" s="13" t="s">
        <v>372</v>
      </c>
      <c r="E9" s="8" t="s">
        <v>6</v>
      </c>
      <c r="F9" s="8"/>
      <c r="G9" s="8"/>
      <c r="H9" s="8"/>
      <c r="I9" s="8"/>
      <c r="J9" t="s">
        <v>373</v>
      </c>
    </row>
    <row r="10" spans="1:10" ht="52.8" customHeight="1" x14ac:dyDescent="0.25">
      <c r="A10" s="5"/>
      <c r="B10" s="6" t="s">
        <v>374</v>
      </c>
      <c r="C10" s="12" t="str">
        <f>HYPERLINK("https://genai.owasp.org/llmrisk/llm092025-misinformation/", "Misinformation")</f>
        <v>Misinformation</v>
      </c>
      <c r="D10" s="13" t="s">
        <v>375</v>
      </c>
      <c r="E10" s="8" t="s">
        <v>6</v>
      </c>
      <c r="F10" s="8"/>
      <c r="G10" s="8"/>
      <c r="H10" s="8"/>
      <c r="I10" s="8"/>
      <c r="J10" t="s">
        <v>376</v>
      </c>
    </row>
    <row r="11" spans="1:10" ht="90.3" customHeight="1" x14ac:dyDescent="0.25">
      <c r="A11" s="5"/>
      <c r="B11" s="6" t="s">
        <v>377</v>
      </c>
      <c r="C11" s="12" t="str">
        <f>HYPERLINK("https://genai.owasp.org/llmrisk/llm102025-unbounded-consumption/", "Unbounded Consumption")</f>
        <v>Unbounded Consumption</v>
      </c>
      <c r="D11" s="13" t="s">
        <v>378</v>
      </c>
      <c r="E11" s="8" t="s">
        <v>4</v>
      </c>
      <c r="F11" s="8"/>
      <c r="G11" s="8"/>
      <c r="H11" s="8"/>
      <c r="I11" s="8"/>
      <c r="J11" t="s">
        <v>379</v>
      </c>
    </row>
    <row r="12" spans="1:10" ht="13.2" customHeight="1" x14ac:dyDescent="0.25">
      <c r="A12" s="2"/>
      <c r="B12" s="3"/>
      <c r="C12" s="2"/>
      <c r="D12" s="2"/>
      <c r="E12" s="2"/>
      <c r="F12" s="2"/>
      <c r="G12" s="2"/>
      <c r="H12" s="2"/>
      <c r="I12" s="2"/>
    </row>
    <row r="13" spans="1:10" ht="13.2" customHeight="1" x14ac:dyDescent="0.25">
      <c r="B13" s="6" t="s">
        <v>380</v>
      </c>
    </row>
    <row r="14" spans="1:10" ht="13.2" customHeight="1" x14ac:dyDescent="0.25">
      <c r="B14" t="s">
        <v>381</v>
      </c>
    </row>
    <row r="15" spans="1:10" ht="13.2" customHeight="1" x14ac:dyDescent="0.25"/>
    <row r="16" spans="1:10" ht="13.2" customHeight="1" x14ac:dyDescent="0.25"/>
    <row r="17" ht="13.2" customHeight="1" x14ac:dyDescent="0.25"/>
    <row r="18" ht="13.2" customHeight="1" x14ac:dyDescent="0.25"/>
    <row r="19" ht="13.2" customHeight="1" x14ac:dyDescent="0.25"/>
    <row r="20" ht="13.2" customHeight="1" x14ac:dyDescent="0.25"/>
    <row r="21" ht="13.2" customHeight="1" x14ac:dyDescent="0.25"/>
    <row r="22" ht="13.2" customHeight="1" x14ac:dyDescent="0.25"/>
    <row r="23" ht="13.2" customHeight="1" x14ac:dyDescent="0.25"/>
    <row r="24" ht="13.2" customHeight="1" x14ac:dyDescent="0.25"/>
    <row r="25" ht="13.2" customHeight="1" x14ac:dyDescent="0.25"/>
    <row r="26" ht="13.2" customHeight="1" x14ac:dyDescent="0.25"/>
    <row r="27" ht="13.2" customHeight="1" x14ac:dyDescent="0.25"/>
    <row r="28" ht="13.2" customHeight="1" x14ac:dyDescent="0.25"/>
    <row r="29" ht="13.2" customHeight="1" x14ac:dyDescent="0.25"/>
    <row r="30" ht="13.2" customHeight="1" x14ac:dyDescent="0.25"/>
    <row r="31" ht="13.2" customHeight="1" x14ac:dyDescent="0.25"/>
    <row r="32" ht="13.2" customHeight="1" x14ac:dyDescent="0.25"/>
    <row r="33" ht="13.2" customHeight="1" x14ac:dyDescent="0.25"/>
    <row r="34" ht="13.2" customHeight="1" x14ac:dyDescent="0.25"/>
    <row r="35" ht="13.2" customHeight="1" x14ac:dyDescent="0.25"/>
    <row r="36" ht="13.2" customHeight="1" x14ac:dyDescent="0.25"/>
    <row r="37" ht="13.2" customHeight="1" x14ac:dyDescent="0.25"/>
    <row r="38" ht="13.2" customHeight="1" x14ac:dyDescent="0.25"/>
    <row r="39" ht="13.2" customHeight="1" x14ac:dyDescent="0.25"/>
    <row r="40" ht="13.2" customHeight="1" x14ac:dyDescent="0.25"/>
    <row r="41" ht="13.2" customHeight="1" x14ac:dyDescent="0.25"/>
    <row r="42" ht="13.2" customHeight="1" x14ac:dyDescent="0.25"/>
    <row r="43" ht="13.2" customHeight="1" x14ac:dyDescent="0.25"/>
    <row r="44" ht="13.2" customHeight="1" x14ac:dyDescent="0.25"/>
    <row r="45" ht="13.2" customHeight="1" x14ac:dyDescent="0.25"/>
    <row r="46" ht="13.2" customHeight="1" x14ac:dyDescent="0.25"/>
    <row r="47" ht="13.2" customHeight="1" x14ac:dyDescent="0.25"/>
    <row r="48" ht="13.2" customHeight="1" x14ac:dyDescent="0.25"/>
    <row r="49" ht="13.2" customHeight="1" x14ac:dyDescent="0.25"/>
    <row r="50" ht="13.2" customHeight="1" x14ac:dyDescent="0.25"/>
    <row r="51" ht="13.2" customHeight="1" x14ac:dyDescent="0.25"/>
    <row r="52" ht="13.2" customHeight="1" x14ac:dyDescent="0.25"/>
    <row r="53" ht="13.2" customHeight="1" x14ac:dyDescent="0.25"/>
    <row r="54" ht="13.2" customHeight="1" x14ac:dyDescent="0.25"/>
    <row r="55" ht="13.2" customHeight="1" x14ac:dyDescent="0.25"/>
    <row r="56" ht="13.2" customHeight="1" x14ac:dyDescent="0.25"/>
    <row r="57" ht="13.2" customHeight="1" x14ac:dyDescent="0.25"/>
    <row r="58" ht="13.2" customHeight="1" x14ac:dyDescent="0.25"/>
    <row r="59" ht="13.2" customHeight="1" x14ac:dyDescent="0.25"/>
    <row r="60" ht="13.2" customHeight="1" x14ac:dyDescent="0.25"/>
    <row r="61" ht="13.2" customHeight="1" x14ac:dyDescent="0.25"/>
    <row r="62" ht="13.2" customHeight="1" x14ac:dyDescent="0.25"/>
    <row r="63" ht="13.2" customHeight="1" x14ac:dyDescent="0.25"/>
    <row r="64" ht="13.2" customHeight="1" x14ac:dyDescent="0.25"/>
    <row r="65" ht="13.2" customHeight="1" x14ac:dyDescent="0.25"/>
    <row r="66" ht="13.2" customHeight="1" x14ac:dyDescent="0.25"/>
    <row r="67" ht="13.2" customHeight="1" x14ac:dyDescent="0.25"/>
    <row r="68" ht="13.2" customHeight="1" x14ac:dyDescent="0.25"/>
    <row r="69" ht="13.2" customHeight="1" x14ac:dyDescent="0.25"/>
    <row r="70" ht="13.2" customHeight="1" x14ac:dyDescent="0.25"/>
    <row r="71" ht="13.2" customHeight="1" x14ac:dyDescent="0.25"/>
    <row r="72" ht="13.2" customHeight="1" x14ac:dyDescent="0.25"/>
    <row r="73" ht="13.2" customHeight="1" x14ac:dyDescent="0.25"/>
    <row r="74" ht="13.2" customHeight="1" x14ac:dyDescent="0.25"/>
    <row r="75" ht="13.2" customHeight="1" x14ac:dyDescent="0.25"/>
    <row r="76" ht="13.2" customHeight="1" x14ac:dyDescent="0.25"/>
    <row r="77" ht="13.2" customHeight="1" x14ac:dyDescent="0.25"/>
    <row r="78" ht="13.2" customHeight="1" x14ac:dyDescent="0.25"/>
    <row r="79" ht="13.2" customHeight="1" x14ac:dyDescent="0.25"/>
    <row r="80" ht="13.2" customHeight="1" x14ac:dyDescent="0.25"/>
    <row r="81" ht="13.2" customHeight="1" x14ac:dyDescent="0.25"/>
    <row r="82" ht="13.2" customHeight="1" x14ac:dyDescent="0.25"/>
    <row r="83" ht="13.2" customHeight="1" x14ac:dyDescent="0.25"/>
    <row r="84" ht="13.2" customHeight="1" x14ac:dyDescent="0.25"/>
    <row r="85" ht="13.2" customHeight="1" x14ac:dyDescent="0.25"/>
    <row r="86" ht="13.2" customHeight="1" x14ac:dyDescent="0.25"/>
    <row r="87" ht="13.2" customHeight="1" x14ac:dyDescent="0.25"/>
    <row r="88" ht="13.2" customHeight="1" x14ac:dyDescent="0.25"/>
    <row r="89" ht="13.2" customHeight="1" x14ac:dyDescent="0.25"/>
    <row r="90" ht="13.2" customHeight="1" x14ac:dyDescent="0.25"/>
    <row r="91" ht="13.2" customHeight="1" x14ac:dyDescent="0.25"/>
    <row r="92" ht="13.2" customHeight="1" x14ac:dyDescent="0.25"/>
    <row r="93" ht="13.2" customHeight="1" x14ac:dyDescent="0.25"/>
    <row r="94" ht="13.2" customHeight="1" x14ac:dyDescent="0.25"/>
    <row r="95" ht="13.2" customHeight="1" x14ac:dyDescent="0.25"/>
    <row r="96" ht="13.2" customHeight="1" x14ac:dyDescent="0.25"/>
    <row r="97" ht="13.2" customHeight="1" x14ac:dyDescent="0.25"/>
    <row r="98" ht="13.2" customHeight="1" x14ac:dyDescent="0.25"/>
    <row r="99" ht="13.2" customHeight="1" x14ac:dyDescent="0.25"/>
    <row r="100" ht="13.2" customHeight="1" x14ac:dyDescent="0.25"/>
    <row r="101" ht="13.2" customHeight="1" x14ac:dyDescent="0.25"/>
    <row r="102" ht="13.2" customHeight="1" x14ac:dyDescent="0.25"/>
    <row r="103" ht="13.2" customHeight="1" x14ac:dyDescent="0.25"/>
    <row r="104" ht="13.2" customHeight="1" x14ac:dyDescent="0.25"/>
    <row r="105" ht="13.2" customHeight="1" x14ac:dyDescent="0.25"/>
    <row r="106" ht="13.2" customHeight="1" x14ac:dyDescent="0.25"/>
    <row r="107" ht="13.2" customHeight="1" x14ac:dyDescent="0.25"/>
    <row r="108" ht="13.2" customHeight="1" x14ac:dyDescent="0.25"/>
    <row r="109" ht="13.2" customHeight="1" x14ac:dyDescent="0.25"/>
    <row r="110" ht="13.2" customHeight="1" x14ac:dyDescent="0.25"/>
    <row r="111" ht="13.2" customHeight="1" x14ac:dyDescent="0.25"/>
    <row r="112" ht="13.2" customHeight="1" x14ac:dyDescent="0.25"/>
    <row r="113" ht="13.2" customHeight="1" x14ac:dyDescent="0.25"/>
    <row r="114" ht="13.2" customHeight="1" x14ac:dyDescent="0.25"/>
  </sheetData>
  <conditionalFormatting sqref="B2:F2 B3:B9 B10:F11 B12:I12 B13 E2:I11 B1:I1">
    <cfRule type="expression" dxfId="22" priority="20">
      <formula>$E1="Pass"</formula>
    </cfRule>
  </conditionalFormatting>
  <conditionalFormatting sqref="C4:D4 C7:D7">
    <cfRule type="expression" dxfId="21" priority="32">
      <formula>$E6="N/A"</formula>
    </cfRule>
    <cfRule type="expression" dxfId="20" priority="33">
      <formula>$E6="Issues"</formula>
    </cfRule>
    <cfRule type="expression" dxfId="19" priority="34">
      <formula>$E6="Pass"</formula>
    </cfRule>
  </conditionalFormatting>
  <conditionalFormatting sqref="C6:D6">
    <cfRule type="expression" dxfId="18" priority="38">
      <formula>$E3="N/A"</formula>
    </cfRule>
    <cfRule type="expression" dxfId="17" priority="39">
      <formula>$E3="Issues"</formula>
    </cfRule>
    <cfRule type="expression" dxfId="16" priority="40">
      <formula>$E3="Pass"</formula>
    </cfRule>
  </conditionalFormatting>
  <conditionalFormatting sqref="C3:D3">
    <cfRule type="expression" dxfId="15" priority="44">
      <formula>$E7="N/A"</formula>
    </cfRule>
    <cfRule type="expression" dxfId="14" priority="45">
      <formula>$E7="Issues"</formula>
    </cfRule>
    <cfRule type="expression" dxfId="13" priority="46">
      <formula>$E7="Pass"</formula>
    </cfRule>
  </conditionalFormatting>
  <conditionalFormatting sqref="C5:D5">
    <cfRule type="expression" dxfId="12" priority="7">
      <formula>#REF!="N/A"</formula>
    </cfRule>
    <cfRule type="expression" dxfId="11" priority="8">
      <formula>#REF!="Issues"</formula>
    </cfRule>
    <cfRule type="expression" dxfId="10" priority="9">
      <formula>#REF!="Pass"</formula>
    </cfRule>
  </conditionalFormatting>
  <conditionalFormatting sqref="D8">
    <cfRule type="expression" dxfId="9" priority="4">
      <formula>$E2="N/A"</formula>
    </cfRule>
    <cfRule type="expression" dxfId="8" priority="5">
      <formula>$E2="Issues"</formula>
    </cfRule>
    <cfRule type="expression" dxfId="7" priority="6">
      <formula>$E2="Pass"</formula>
    </cfRule>
  </conditionalFormatting>
  <conditionalFormatting sqref="D9">
    <cfRule type="expression" dxfId="6" priority="1">
      <formula>#REF!="N/A"</formula>
    </cfRule>
    <cfRule type="expression" dxfId="5" priority="2">
      <formula>#REF!="Issues"</formula>
    </cfRule>
    <cfRule type="expression" dxfId="4" priority="3">
      <formula>#REF!="Pass"</formula>
    </cfRule>
  </conditionalFormatting>
  <dataValidations count="1">
    <dataValidation type="list" allowBlank="1" sqref="E2:E11" xr:uid="{00000000-0002-0000-0100-000000000000}">
      <formula1>"Not Started,Pass,Issues,N/A"</formula1>
    </dataValidation>
  </dataValidations>
  <pageMargins left="0.7" right="0.7" top="0.75" bottom="0.75" header="0.3" footer="0.3"/>
  <headerFooter>
    <oddFooter>&amp;L&amp;"Calibri"&amp;8 &amp;K000000_x000D_# Internal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workbookViewId="0">
      <selection activeCell="C28" sqref="C28"/>
    </sheetView>
  </sheetViews>
  <sheetFormatPr defaultColWidth="12.6640625" defaultRowHeight="15.75" customHeight="1" x14ac:dyDescent="0.25"/>
  <cols>
    <col min="1" max="1" width="3.6640625" customWidth="1"/>
    <col min="2" max="2" width="26.44140625" customWidth="1"/>
    <col min="3" max="3" width="44.6640625" customWidth="1"/>
    <col min="4" max="4" width="54.44140625" customWidth="1"/>
    <col min="6" max="6" width="22.33203125" customWidth="1"/>
    <col min="7" max="7" width="19.33203125" customWidth="1"/>
    <col min="8" max="8" width="29.88671875" bestFit="1" customWidth="1"/>
    <col min="9" max="9" width="33.109375" customWidth="1"/>
    <col min="10" max="10" width="3.88671875" customWidth="1"/>
  </cols>
  <sheetData>
    <row r="1" spans="1:10" ht="37.5" customHeight="1" x14ac:dyDescent="0.3">
      <c r="A1" s="1"/>
      <c r="B1" s="18" t="s">
        <v>382</v>
      </c>
      <c r="C1" s="19"/>
      <c r="D1" s="1"/>
      <c r="E1" s="1"/>
      <c r="F1" s="1"/>
      <c r="G1" s="1"/>
      <c r="H1" s="1"/>
      <c r="I1" s="1"/>
      <c r="J1" s="1"/>
    </row>
    <row r="2" spans="1:10" ht="37.5" customHeight="1" x14ac:dyDescent="0.3">
      <c r="A2" s="1"/>
      <c r="B2" s="9"/>
      <c r="D2" s="1"/>
      <c r="E2" s="1"/>
      <c r="F2" s="1"/>
      <c r="G2" s="1"/>
      <c r="H2" s="1"/>
      <c r="I2" s="1"/>
      <c r="J2" s="1"/>
    </row>
    <row r="3" spans="1:10" ht="37.5" customHeight="1" x14ac:dyDescent="0.3">
      <c r="A3" s="1"/>
      <c r="B3" s="9" t="s">
        <v>1</v>
      </c>
      <c r="D3" s="1"/>
      <c r="E3" s="1"/>
      <c r="F3" s="1"/>
      <c r="G3" s="1"/>
      <c r="H3" s="1"/>
      <c r="I3" s="1"/>
      <c r="J3" s="1"/>
    </row>
    <row r="4" spans="1:10" ht="37.5" customHeight="1" x14ac:dyDescent="0.3">
      <c r="A4" s="1"/>
      <c r="B4" s="9" t="s">
        <v>7</v>
      </c>
      <c r="D4" s="1"/>
      <c r="E4" s="1"/>
      <c r="F4" s="1"/>
      <c r="G4" s="1"/>
      <c r="H4" s="1"/>
      <c r="I4" s="1"/>
      <c r="J4" s="1"/>
    </row>
    <row r="5" spans="1:10" ht="37.5" customHeight="1" x14ac:dyDescent="0.3">
      <c r="A5" s="1"/>
      <c r="B5" s="9" t="s">
        <v>8</v>
      </c>
      <c r="D5" s="1"/>
      <c r="E5" s="1"/>
      <c r="F5" s="1"/>
      <c r="G5" s="1"/>
      <c r="H5" s="1"/>
      <c r="I5" s="1"/>
      <c r="J5" s="1"/>
    </row>
    <row r="6" spans="1:10" ht="15" customHeight="1" x14ac:dyDescent="0.25">
      <c r="A6" s="2"/>
      <c r="B6" s="3"/>
      <c r="C6" s="2"/>
      <c r="D6" s="2"/>
      <c r="E6" s="2"/>
      <c r="F6" s="2"/>
      <c r="G6" s="2"/>
      <c r="H6" s="2"/>
      <c r="I6" s="2"/>
      <c r="J6" s="2"/>
    </row>
    <row r="7" spans="1:10" ht="5.0999999999999996" customHeight="1" x14ac:dyDescent="0.25">
      <c r="A7" s="2"/>
      <c r="B7" s="3"/>
      <c r="C7" s="2"/>
      <c r="D7" s="2"/>
      <c r="E7" s="2"/>
      <c r="F7" s="2"/>
      <c r="G7" s="2"/>
      <c r="H7" s="2"/>
      <c r="I7" s="2"/>
      <c r="J7" s="11"/>
    </row>
    <row r="8" spans="1:10" ht="5.0999999999999996" customHeight="1" x14ac:dyDescent="0.25">
      <c r="A8" s="2"/>
      <c r="B8" s="3"/>
      <c r="C8" s="2"/>
      <c r="D8" s="2"/>
      <c r="E8" s="2"/>
      <c r="F8" s="2"/>
      <c r="G8" s="2"/>
      <c r="H8" s="2"/>
      <c r="I8" s="2"/>
      <c r="J8" s="5"/>
    </row>
    <row r="9" spans="1:10" ht="47.25" customHeight="1" x14ac:dyDescent="0.25">
      <c r="A9" s="4"/>
      <c r="B9" s="10"/>
      <c r="C9" s="11" t="s">
        <v>10</v>
      </c>
      <c r="D9" s="11" t="s">
        <v>11</v>
      </c>
      <c r="E9" s="11" t="s">
        <v>12</v>
      </c>
      <c r="F9" s="11" t="s">
        <v>14</v>
      </c>
      <c r="G9" s="11" t="s">
        <v>15</v>
      </c>
      <c r="H9" s="11" t="s">
        <v>16</v>
      </c>
      <c r="I9" s="11" t="s">
        <v>17</v>
      </c>
    </row>
    <row r="10" spans="1:10" ht="13.2" customHeight="1" x14ac:dyDescent="0.25">
      <c r="A10" s="5"/>
      <c r="B10" s="6"/>
      <c r="C10" s="15"/>
      <c r="D10" s="7"/>
      <c r="E10" s="8" t="s">
        <v>3</v>
      </c>
      <c r="F10" s="8"/>
      <c r="G10" s="8"/>
      <c r="H10" s="8"/>
      <c r="I10" s="8"/>
    </row>
    <row r="11" spans="1:10" ht="13.2" customHeight="1" x14ac:dyDescent="0.25">
      <c r="A11" s="5"/>
      <c r="B11" s="6"/>
      <c r="C11" s="15"/>
      <c r="D11" s="7"/>
      <c r="E11" s="8" t="s">
        <v>3</v>
      </c>
      <c r="F11" s="8"/>
      <c r="G11" s="8"/>
      <c r="H11" s="8"/>
      <c r="I11" s="8"/>
    </row>
    <row r="12" spans="1:10" ht="13.2" customHeight="1" x14ac:dyDescent="0.25">
      <c r="A12" s="5"/>
      <c r="B12" s="6"/>
      <c r="C12" s="15"/>
      <c r="D12" s="7"/>
      <c r="E12" s="8" t="s">
        <v>3</v>
      </c>
      <c r="F12" s="8"/>
      <c r="G12" s="8"/>
      <c r="H12" s="8"/>
      <c r="I12" s="8"/>
    </row>
    <row r="13" spans="1:10" ht="13.2" customHeight="1" x14ac:dyDescent="0.25">
      <c r="A13" s="5"/>
      <c r="B13" s="6"/>
      <c r="C13" s="15"/>
      <c r="D13" s="7"/>
      <c r="E13" s="8" t="s">
        <v>3</v>
      </c>
      <c r="F13" s="8"/>
      <c r="G13" s="8"/>
      <c r="H13" s="8"/>
      <c r="I13" s="8"/>
    </row>
    <row r="14" spans="1:10" ht="13.2" customHeight="1" x14ac:dyDescent="0.25">
      <c r="A14" s="5"/>
      <c r="B14" s="6"/>
      <c r="C14" s="15"/>
      <c r="D14" s="7"/>
      <c r="E14" s="8" t="s">
        <v>3</v>
      </c>
      <c r="F14" s="8"/>
      <c r="G14" s="8"/>
      <c r="H14" s="8"/>
      <c r="I14" s="8"/>
    </row>
    <row r="15" spans="1:10" ht="13.2" customHeight="1" x14ac:dyDescent="0.25">
      <c r="A15" s="5"/>
      <c r="B15" s="6"/>
      <c r="C15" s="15"/>
      <c r="D15" s="7"/>
      <c r="E15" s="8" t="s">
        <v>3</v>
      </c>
      <c r="F15" s="8"/>
      <c r="G15" s="8"/>
      <c r="H15" s="8"/>
      <c r="I15" s="8"/>
    </row>
    <row r="16" spans="1:10" ht="13.2" customHeight="1" x14ac:dyDescent="0.25">
      <c r="A16" s="5"/>
      <c r="B16" s="6"/>
      <c r="C16" s="15"/>
      <c r="D16" s="7"/>
      <c r="E16" s="8" t="s">
        <v>3</v>
      </c>
      <c r="F16" s="8"/>
      <c r="G16" s="8"/>
      <c r="H16" s="8"/>
      <c r="I16" s="8"/>
    </row>
    <row r="17" spans="1:9" ht="16.5" customHeight="1" x14ac:dyDescent="0.25">
      <c r="A17" s="5"/>
      <c r="B17" s="6"/>
      <c r="C17" s="15"/>
      <c r="D17" s="7"/>
      <c r="E17" s="8" t="s">
        <v>3</v>
      </c>
      <c r="F17" s="8"/>
      <c r="G17" s="8"/>
      <c r="H17" s="8"/>
      <c r="I17" s="8"/>
    </row>
    <row r="18" spans="1:9" ht="16.5" customHeight="1" x14ac:dyDescent="0.25">
      <c r="A18" s="5"/>
      <c r="B18" s="6"/>
      <c r="C18" s="15"/>
      <c r="D18" s="7"/>
      <c r="E18" s="8" t="s">
        <v>3</v>
      </c>
      <c r="F18" s="8"/>
      <c r="G18" s="8"/>
      <c r="H18" s="8"/>
      <c r="I18" s="8"/>
    </row>
    <row r="19" spans="1:9" ht="13.2" customHeight="1" x14ac:dyDescent="0.25">
      <c r="A19" s="5"/>
      <c r="B19" s="6"/>
      <c r="C19" s="15"/>
      <c r="D19" s="7"/>
      <c r="E19" s="8" t="s">
        <v>3</v>
      </c>
      <c r="F19" s="8"/>
      <c r="G19" s="8"/>
      <c r="H19" s="8"/>
      <c r="I19" s="8"/>
    </row>
  </sheetData>
  <mergeCells count="1">
    <mergeCell ref="B1:C1"/>
  </mergeCells>
  <conditionalFormatting sqref="B8:I8">
    <cfRule type="expression" dxfId="3" priority="8">
      <formula>$E8="Pass"</formula>
    </cfRule>
    <cfRule type="expression" dxfId="2" priority="9">
      <formula>$E8="N/A"</formula>
    </cfRule>
    <cfRule type="expression" dxfId="1" priority="10">
      <formula>$E8="Issues"</formula>
    </cfRule>
  </conditionalFormatting>
  <conditionalFormatting sqref="B8:I19">
    <cfRule type="expression" dxfId="0" priority="11">
      <formula>$E8="Pass"</formula>
    </cfRule>
  </conditionalFormatting>
  <dataValidations count="1">
    <dataValidation type="list" allowBlank="1" sqref="E8:H8 E10:E19" xr:uid="{00000000-0002-0000-0200-000000000000}">
      <formula1>"Not Started,Pass,Issues,N/A"</formula1>
    </dataValidation>
  </dataValidations>
  <pageMargins left="0.75" right="0.75" top="1" bottom="1" header="0" footer="0"/>
  <pageSetup paperSize="9" orientation="portrait"/>
  <headerFooter>
    <oddFooter>&amp;L&amp;"Calibri"&amp;8 &amp;K000000_x000D_#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Testing Checklist (Web)</vt:lpstr>
      <vt:lpstr>Testing Checklist (LLM)</vt:lpstr>
      <vt:lpstr>Testing Checklist (Mobile)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cp:lastModifiedBy>
  <dcterms:created xsi:type="dcterms:W3CDTF">2025-03-29T16:24:02Z</dcterms:created>
  <dcterms:modified xsi:type="dcterms:W3CDTF">2026-07-03T08:15:14Z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0x0101003F1D20D9FC30394D9971D76C49F61E63</vt:lpwstr>
  </property>
  <property fmtid="{D5CDD505-2E9C-101B-9397-08002B2CF9AE}" pid="3" name="MediaServiceImageTags">
    <vt:lpwstr/>
  </property>
  <property fmtid="{D5CDD505-2E9C-101B-9397-08002B2CF9AE}" pid="4" name="MSIP_Label_d5caaddc-90a0-4995-b524-c269e4395a58_Enabled">
    <vt:lpwstr>true</vt:lpwstr>
  </property>
  <property fmtid="{D5CDD505-2E9C-101B-9397-08002B2CF9AE}" pid="5" name="MSIP_Label_d5caaddc-90a0-4995-b524-c269e4395a58_SetDate">
    <vt:lpwstr>2025-06-19T08:22:34Z</vt:lpwstr>
  </property>
  <property fmtid="{D5CDD505-2E9C-101B-9397-08002B2CF9AE}" pid="6" name="MSIP_Label_d5caaddc-90a0-4995-b524-c269e4395a58_Method">
    <vt:lpwstr>Standard</vt:lpwstr>
  </property>
  <property fmtid="{D5CDD505-2E9C-101B-9397-08002B2CF9AE}" pid="7" name="MSIP_Label_d5caaddc-90a0-4995-b524-c269e4395a58_Name">
    <vt:lpwstr>Internal</vt:lpwstr>
  </property>
  <property fmtid="{D5CDD505-2E9C-101B-9397-08002B2CF9AE}" pid="8" name="MSIP_Label_d5caaddc-90a0-4995-b524-c269e4395a58_SiteId">
    <vt:lpwstr>fc743075-93ed-4a5c-82c0-ca5eac914220</vt:lpwstr>
  </property>
  <property fmtid="{D5CDD505-2E9C-101B-9397-08002B2CF9AE}" pid="9" name="MSIP_Label_d5caaddc-90a0-4995-b524-c269e4395a58_ActionId">
    <vt:lpwstr>cb7cbe8c-193c-474b-aca7-4c16b784e3ec</vt:lpwstr>
  </property>
  <property fmtid="{D5CDD505-2E9C-101B-9397-08002B2CF9AE}" pid="10" name="MSIP_Label_d5caaddc-90a0-4995-b524-c269e4395a58_ContentBits">
    <vt:lpwstr>2</vt:lpwstr>
  </property>
  <property fmtid="{D5CDD505-2E9C-101B-9397-08002B2CF9AE}" pid="11" name="MSIP_Label_d5caaddc-90a0-4995-b524-c269e4395a58_Tag">
    <vt:lpwstr>10, 3, 0, 2</vt:lpwstr>
  </property>
</Properties>
</file>